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405" windowWidth="14805" windowHeight="7710"/>
  </bookViews>
  <sheets>
    <sheet name="دیتابیز عمومی کتب" sheetId="1" r:id="rId1"/>
  </sheets>
  <definedNames>
    <definedName name="_xlnm._FilterDatabase" localSheetId="0" hidden="1">'دیتابیز عمومی کتب'!$B$1:$Z$306</definedName>
    <definedName name="_GoBack" localSheetId="0">'دیتابیز عمومی کتب'!#REF!</definedName>
    <definedName name="_xlnm.Print_Titles" localSheetId="0">'دیتابیز عمومی کتب'!$1:$1</definedName>
  </definedNames>
  <calcPr calcId="162913"/>
</workbook>
</file>

<file path=xl/calcChain.xml><?xml version="1.0" encoding="utf-8"?>
<calcChain xmlns="http://schemas.openxmlformats.org/spreadsheetml/2006/main">
  <c r="Y307" i="1" l="1"/>
  <c r="Y167" i="1" l="1"/>
  <c r="Y166" i="1" l="1"/>
  <c r="Y150" i="1" l="1"/>
  <c r="Y297" i="1" l="1"/>
  <c r="Y286" i="1"/>
  <c r="Y200" i="1"/>
  <c r="Y132" i="1" l="1"/>
  <c r="Y133" i="1"/>
  <c r="Y88" i="1" l="1"/>
  <c r="Y94" i="1" l="1"/>
  <c r="Y26" i="1" l="1"/>
  <c r="Y22" i="1" l="1"/>
  <c r="Y23" i="1"/>
  <c r="Y17" i="1"/>
  <c r="Y10" i="1"/>
  <c r="Y18" i="1"/>
  <c r="Y3" i="1"/>
  <c r="Y4" i="1"/>
  <c r="Y5" i="1"/>
  <c r="Y6" i="1"/>
  <c r="Y7" i="1"/>
  <c r="Y8" i="1"/>
  <c r="Y9" i="1"/>
  <c r="Y11" i="1"/>
  <c r="Y12" i="1"/>
  <c r="Y13" i="1"/>
  <c r="Y14" i="1"/>
  <c r="Y15" i="1"/>
  <c r="Y16" i="1"/>
  <c r="Y19" i="1"/>
  <c r="Y20" i="1"/>
  <c r="Y21" i="1"/>
  <c r="Y24" i="1"/>
  <c r="Y25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9" i="1"/>
  <c r="Y90" i="1"/>
  <c r="Y91" i="1"/>
  <c r="Y92" i="1"/>
  <c r="Y93" i="1"/>
  <c r="Y95" i="1"/>
  <c r="Y96" i="1"/>
  <c r="Y97" i="1"/>
  <c r="Y98" i="1"/>
  <c r="Y99" i="1"/>
  <c r="Y100" i="1"/>
  <c r="Y101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1" i="1"/>
  <c r="Y152" i="1"/>
  <c r="Y153" i="1"/>
  <c r="Y154" i="1"/>
  <c r="Y155" i="1"/>
  <c r="Y156" i="1"/>
  <c r="Y157" i="1"/>
  <c r="Y158" i="1"/>
  <c r="Y159" i="1"/>
  <c r="Y160" i="1"/>
  <c r="Y163" i="1"/>
  <c r="Y164" i="1"/>
  <c r="Y165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7" i="1"/>
  <c r="Y288" i="1"/>
  <c r="Y289" i="1"/>
  <c r="Y290" i="1"/>
  <c r="Y291" i="1"/>
  <c r="Y292" i="1"/>
  <c r="Y293" i="1"/>
  <c r="Y294" i="1"/>
  <c r="Y295" i="1"/>
  <c r="Y296" i="1"/>
  <c r="Y298" i="1"/>
  <c r="Y299" i="1"/>
  <c r="Y300" i="1"/>
  <c r="Y301" i="1"/>
  <c r="Y302" i="1"/>
  <c r="Y303" i="1"/>
  <c r="Y304" i="1"/>
  <c r="Y305" i="1"/>
  <c r="Y306" i="1"/>
  <c r="Y2" i="1"/>
</calcChain>
</file>

<file path=xl/sharedStrings.xml><?xml version="1.0" encoding="utf-8"?>
<sst xmlns="http://schemas.openxmlformats.org/spreadsheetml/2006/main" count="2835" uniqueCount="954">
  <si>
    <t>تعداد جلد</t>
  </si>
  <si>
    <t>اسم مولف</t>
  </si>
  <si>
    <t>عنوان کتاب</t>
  </si>
  <si>
    <t>آنتونی رابینز</t>
  </si>
  <si>
    <t>پریرخ دادستان</t>
  </si>
  <si>
    <t>پاملا فرگوسون</t>
  </si>
  <si>
    <t>منوچهر محسنی</t>
  </si>
  <si>
    <t>علی حائری</t>
  </si>
  <si>
    <t>داود معظمی</t>
  </si>
  <si>
    <t>نیما قربانی</t>
  </si>
  <si>
    <t>دنا کرولی</t>
  </si>
  <si>
    <t>ایزاک آسیموف</t>
  </si>
  <si>
    <t>علی عبدالله دفاع</t>
  </si>
  <si>
    <t>ه</t>
  </si>
  <si>
    <t xml:space="preserve">ه </t>
  </si>
  <si>
    <t>امام فخر رازی</t>
  </si>
  <si>
    <t>ارل میندل</t>
  </si>
  <si>
    <t>جان گراوس</t>
  </si>
  <si>
    <t>اصول جراحی مغز و اعصاب</t>
  </si>
  <si>
    <t>مارک مومنتهالر</t>
  </si>
  <si>
    <t>غلام رضا بهادر خان</t>
  </si>
  <si>
    <t>کلیات جراحی اعصاب</t>
  </si>
  <si>
    <t>امی ب – هریس</t>
  </si>
  <si>
    <t>حمید نوروزی</t>
  </si>
  <si>
    <t>لطفعلی پور کاظمی</t>
  </si>
  <si>
    <t>نسرین بهادرانی</t>
  </si>
  <si>
    <t xml:space="preserve">علی جواد زاده </t>
  </si>
  <si>
    <t>پت سی</t>
  </si>
  <si>
    <t xml:space="preserve"> بیماریهای غده تیروئید</t>
  </si>
  <si>
    <t>ماری وین</t>
  </si>
  <si>
    <t>محمود طباطبائی</t>
  </si>
  <si>
    <t>دکتر چهرازی</t>
  </si>
  <si>
    <t>سیمیولوژی اعصاب</t>
  </si>
  <si>
    <t>پیر هوارد</t>
  </si>
  <si>
    <t>گروهی ازپزشکان</t>
  </si>
  <si>
    <t>شناخت بیماریها و راهنمای پزشکی</t>
  </si>
  <si>
    <t>ام جی سافون</t>
  </si>
  <si>
    <t>ژیل پاتریس</t>
  </si>
  <si>
    <t>بیماری ایدز</t>
  </si>
  <si>
    <t>میریام گیبون</t>
  </si>
  <si>
    <t>سرگذشت بیماران روانی</t>
  </si>
  <si>
    <t>رضا یحیایی</t>
  </si>
  <si>
    <t>هفت طب اصلی دنیا</t>
  </si>
  <si>
    <t>جنیس پاپولوس</t>
  </si>
  <si>
    <t xml:space="preserve">غلبه بر افسردگی </t>
  </si>
  <si>
    <t>رضا نیکخو</t>
  </si>
  <si>
    <t>هنریک ر ولف</t>
  </si>
  <si>
    <t>در آمدی بر فلسفه طب</t>
  </si>
  <si>
    <t>رابرت آلبرتی</t>
  </si>
  <si>
    <t>دکتر افکاری</t>
  </si>
  <si>
    <t xml:space="preserve">انتقال خون و فرآورده های آن </t>
  </si>
  <si>
    <t>برونر و سودارت</t>
  </si>
  <si>
    <t>دستنامه پرستاری داخلی جراحی</t>
  </si>
  <si>
    <t>بیماریهای کرونر قلب</t>
  </si>
  <si>
    <t>یوسف محمدی</t>
  </si>
  <si>
    <t>گل محمد سوری</t>
  </si>
  <si>
    <t>جراحی اعصاب</t>
  </si>
  <si>
    <t>عباس ادیب</t>
  </si>
  <si>
    <t>محمود چغمینی</t>
  </si>
  <si>
    <t>مسعود موسوی نسب</t>
  </si>
  <si>
    <t>رونالد مارکس</t>
  </si>
  <si>
    <t>برهان شفا</t>
  </si>
  <si>
    <t>ریچارد کامینز</t>
  </si>
  <si>
    <t>کلارنس ج راد</t>
  </si>
  <si>
    <t>گرهارد فنتزمر</t>
  </si>
  <si>
    <t>علی محمد آقا محمدی</t>
  </si>
  <si>
    <t>گوش و گلو و بینی</t>
  </si>
  <si>
    <t xml:space="preserve">هدایت الله هدایت </t>
  </si>
  <si>
    <t>اطلس سونوگرافیک بطن</t>
  </si>
  <si>
    <t>کمال الدین فاطمی</t>
  </si>
  <si>
    <t>بیماریهای عفونی</t>
  </si>
  <si>
    <t>آندر ئو لی</t>
  </si>
  <si>
    <t>مینگ . ت . تسوانگ</t>
  </si>
  <si>
    <t>لوین – لادون</t>
  </si>
  <si>
    <t>تشخیص و درمان اختلالهای روانی بزرگسالان</t>
  </si>
  <si>
    <t>مهرداد فیروز بخت</t>
  </si>
  <si>
    <t>ویلیام لین</t>
  </si>
  <si>
    <t>سرطان کوسه ها را شکار نمی کند</t>
  </si>
  <si>
    <t>صدیقه سالمی</t>
  </si>
  <si>
    <t>علی صاحبی</t>
  </si>
  <si>
    <t>شاه محمود پوپل</t>
  </si>
  <si>
    <t>امراض جراحی جهاز هضمی</t>
  </si>
  <si>
    <t>حسین مزدارانی</t>
  </si>
  <si>
    <t>کریس بارکر</t>
  </si>
  <si>
    <t>دوک الدر</t>
  </si>
  <si>
    <t>رضا یعقوبی</t>
  </si>
  <si>
    <t>عفونت  HIV ایدز</t>
  </si>
  <si>
    <t>انجمن قلب امریکا</t>
  </si>
  <si>
    <t>ادوارد براون</t>
  </si>
  <si>
    <t>تاریخ طب اسلامی</t>
  </si>
  <si>
    <t>ر . جانسون</t>
  </si>
  <si>
    <t>فیزیولوژی دستگاه گوارش</t>
  </si>
  <si>
    <t>محمود طباطبایی</t>
  </si>
  <si>
    <t>مصطفی انصاری</t>
  </si>
  <si>
    <t>طب در گستره تاریخ</t>
  </si>
  <si>
    <t>ابراهیم تبرکی</t>
  </si>
  <si>
    <t>ریزش مو و درمان آن</t>
  </si>
  <si>
    <t>آندرولی . بنت</t>
  </si>
  <si>
    <t>اندیشمندان و دانشمندان علوم طب</t>
  </si>
  <si>
    <t>غبرائی</t>
  </si>
  <si>
    <t>پرویز مالک نژاد</t>
  </si>
  <si>
    <t>ویروس شناسی پزشکی</t>
  </si>
  <si>
    <t>انوش دهنادی</t>
  </si>
  <si>
    <t>محسن ارجمند</t>
  </si>
  <si>
    <t>مورین ترنس</t>
  </si>
  <si>
    <t>محسن احمدی</t>
  </si>
  <si>
    <t>امیر حسین کازری</t>
  </si>
  <si>
    <t>بیماریهای گوش و حلق و بینی</t>
  </si>
  <si>
    <t>فرج الله شفا</t>
  </si>
  <si>
    <t xml:space="preserve">ویروسها </t>
  </si>
  <si>
    <t>محسن تحققی</t>
  </si>
  <si>
    <t>رژیم غذایی و درمان فشار خون بالا</t>
  </si>
  <si>
    <t>رضا فرید حسینی</t>
  </si>
  <si>
    <t>امیر قادی پاشا</t>
  </si>
  <si>
    <t>درس آزمون خون</t>
  </si>
  <si>
    <t>کامران احمدی</t>
  </si>
  <si>
    <t>دیوید ورنر</t>
  </si>
  <si>
    <t>ملاحت نیک روان</t>
  </si>
  <si>
    <t>ه منیرت</t>
  </si>
  <si>
    <t>بیماری قند چیست</t>
  </si>
  <si>
    <t>حسین سند گل</t>
  </si>
  <si>
    <t>رابرت پلامین</t>
  </si>
  <si>
    <t>جودیت هوپر</t>
  </si>
  <si>
    <t>جهان شگفت انگیز مغز</t>
  </si>
  <si>
    <t>رضا آقاجانی</t>
  </si>
  <si>
    <t>علیرضا یاروی کیا</t>
  </si>
  <si>
    <t>ج س آلبرت</t>
  </si>
  <si>
    <t>ابراهیم فتاحی</t>
  </si>
  <si>
    <t>نعمت الله مختاری</t>
  </si>
  <si>
    <t>عوارض اتولارنژیک بیماریها و جراحی تیروئید</t>
  </si>
  <si>
    <t>ابراهیم تقوی</t>
  </si>
  <si>
    <t>نگرشی بر الکتروشوک</t>
  </si>
  <si>
    <t>آلتون تیگرسون</t>
  </si>
  <si>
    <t>انجمن پزشکی بریتانیا</t>
  </si>
  <si>
    <t>مهدی توسلی</t>
  </si>
  <si>
    <t>رین هولد بنز</t>
  </si>
  <si>
    <t>پرورش صورت</t>
  </si>
  <si>
    <t>تشخیص و درمان طبی بیماریها</t>
  </si>
  <si>
    <t>صمد علی حکمت</t>
  </si>
  <si>
    <t>امراض قلبی وعایی</t>
  </si>
  <si>
    <t>بیوشیمی ژنتیک و بیماریهای متابولیک ارثی</t>
  </si>
  <si>
    <t>مر آر پیزوتی</t>
  </si>
  <si>
    <t>دبورا شو برلین</t>
  </si>
  <si>
    <t>برای همه آنچه درباره ایدز باید بدانید</t>
  </si>
  <si>
    <t xml:space="preserve">تونی اسمیت </t>
  </si>
  <si>
    <t>محمود سروری فخر</t>
  </si>
  <si>
    <t xml:space="preserve">کمک های اولیه </t>
  </si>
  <si>
    <t>ویم مک کنزی</t>
  </si>
  <si>
    <t xml:space="preserve">افسردگی </t>
  </si>
  <si>
    <t>کرونری قلب</t>
  </si>
  <si>
    <t>دیوید کرک</t>
  </si>
  <si>
    <t>جان هاک</t>
  </si>
  <si>
    <t>پوست و نور آفتاب</t>
  </si>
  <si>
    <t>گرک ویلکسون</t>
  </si>
  <si>
    <t>رابرت جی دیوس</t>
  </si>
  <si>
    <t>آنتونی تافت</t>
  </si>
  <si>
    <t>تیروئید</t>
  </si>
  <si>
    <t xml:space="preserve">ایدز به زبان ساده </t>
  </si>
  <si>
    <t>حسن هاشمی</t>
  </si>
  <si>
    <t>زیبایی و حفظ سلامت پوست و مو با گیاهان دارویی</t>
  </si>
  <si>
    <t xml:space="preserve">بیماریهای عروق قلبی به زبان ساده </t>
  </si>
  <si>
    <t>احمد محمودآبادی</t>
  </si>
  <si>
    <t>سی جی هاوکی</t>
  </si>
  <si>
    <t>عبدالواحد الکوزی</t>
  </si>
  <si>
    <t>آرمان ساکت</t>
  </si>
  <si>
    <t xml:space="preserve">شگفتیهای مغز انسان </t>
  </si>
  <si>
    <t>احمد کمال</t>
  </si>
  <si>
    <t>تقسیم بندی فیزیولوژی</t>
  </si>
  <si>
    <t>گروه مترجمین</t>
  </si>
  <si>
    <t>اساسات داخله</t>
  </si>
  <si>
    <t>براون والد</t>
  </si>
  <si>
    <t>گروه مولفان</t>
  </si>
  <si>
    <t xml:space="preserve">فاطمه نجات بخش </t>
  </si>
  <si>
    <t>ورن مارک</t>
  </si>
  <si>
    <t>پاسداشت تندرستی با پزشکی ایرانی</t>
  </si>
  <si>
    <t>یحیی بن عیسی بغدادی</t>
  </si>
  <si>
    <t>افسانه گشتر</t>
  </si>
  <si>
    <t>افسردگی روانی</t>
  </si>
  <si>
    <t>عبدالغفور ارصاد</t>
  </si>
  <si>
    <t>مهدخت سپهر خوی</t>
  </si>
  <si>
    <t>جراحی عصبی</t>
  </si>
  <si>
    <t>تشخیص افتراقی بیماریهای مغز و اعصاب</t>
  </si>
  <si>
    <t>نشانه ها و معاینه بالینی بیماریهای قلب و عروق</t>
  </si>
  <si>
    <t>علی اکبر توسلی</t>
  </si>
  <si>
    <t>تشخیص و درمان بیماریهای قلبی</t>
  </si>
  <si>
    <t>اسماعیل صائبی</t>
  </si>
  <si>
    <t xml:space="preserve"> </t>
  </si>
  <si>
    <t>محمدعلی بهروز</t>
  </si>
  <si>
    <t>محمدرضا نیکخو</t>
  </si>
  <si>
    <t>محمدعلی یگانه دوست</t>
  </si>
  <si>
    <t>شیرمحمد شهاب</t>
  </si>
  <si>
    <t>محمدانور ترابی</t>
  </si>
  <si>
    <t>محمدباقر مینائی</t>
  </si>
  <si>
    <t>محمدکریم خداپناهی</t>
  </si>
  <si>
    <t>بنفشه زارعی</t>
  </si>
  <si>
    <t>بیژن معصوم</t>
  </si>
  <si>
    <t>آسیب های خطرناک بدنی</t>
  </si>
  <si>
    <t>مراقبت و درمان</t>
  </si>
  <si>
    <t>زندگی مستقل پس از سکته مغزی</t>
  </si>
  <si>
    <t>مهین رویس نیا</t>
  </si>
  <si>
    <t>اول</t>
  </si>
  <si>
    <t>دوم</t>
  </si>
  <si>
    <t>چهارم</t>
  </si>
  <si>
    <t>سوم</t>
  </si>
  <si>
    <t>پنجم</t>
  </si>
  <si>
    <t>هفتم</t>
  </si>
  <si>
    <t>کلد برنارد</t>
  </si>
  <si>
    <t>بطن حاد و مزمن</t>
  </si>
  <si>
    <t>فرهاد همت خواه</t>
  </si>
  <si>
    <t>کمک های اولیه</t>
  </si>
  <si>
    <t>کمک های اولیه و فوریتهای پزشکی</t>
  </si>
  <si>
    <t>علی اکبر پور فتح الله</t>
  </si>
  <si>
    <t>محمد پارچه باف</t>
  </si>
  <si>
    <t>اسرار تغذیه و سلامتی</t>
  </si>
  <si>
    <t>محمدحسین صالحی</t>
  </si>
  <si>
    <t>دانستنی های انتظامی خانواده</t>
  </si>
  <si>
    <t>مرک مینوال</t>
  </si>
  <si>
    <t>هوشنگ بقایی</t>
  </si>
  <si>
    <t>شوک و درمان آن</t>
  </si>
  <si>
    <t>جلیل برادران</t>
  </si>
  <si>
    <t>پیشگیری از سکته های قلبی</t>
  </si>
  <si>
    <t>سیف الدین نبوی</t>
  </si>
  <si>
    <t>درمان افسردگی</t>
  </si>
  <si>
    <t>جی ریموند دوپاولو</t>
  </si>
  <si>
    <t>زهرا یامحمدی</t>
  </si>
  <si>
    <t>فتق، بواسیر، شقاق و خارش</t>
  </si>
  <si>
    <t xml:space="preserve">احمد محمودآبادی </t>
  </si>
  <si>
    <t>پزشکی قلب و اعصاب</t>
  </si>
  <si>
    <t>امانوئل هه</t>
  </si>
  <si>
    <t>رضا جمالیان</t>
  </si>
  <si>
    <t>فائزه احمدی</t>
  </si>
  <si>
    <t>پیمایش سونوگرافیک اعضاء</t>
  </si>
  <si>
    <t xml:space="preserve">پروفسور ماران </t>
  </si>
  <si>
    <t>گوش و حلق و بینی ( جلد دوم )</t>
  </si>
  <si>
    <t>سیگار  سکته , سرطان</t>
  </si>
  <si>
    <t>ویتامینها/ میکربها « میکروبها » میکروسکوب</t>
  </si>
  <si>
    <t>کمک های اولیه و احیای قلبی و ریوی بصورت پایه</t>
  </si>
  <si>
    <t>ث. ا. هه. واتز</t>
  </si>
  <si>
    <t>ام. رابین دیماتئو</t>
  </si>
  <si>
    <t>آلن ال. ادواردز</t>
  </si>
  <si>
    <t>شورای آموزش پزشکی</t>
  </si>
  <si>
    <t>اصول و مبانی بهداشت روانی</t>
  </si>
  <si>
    <t>حبیب الرحمن غنی</t>
  </si>
  <si>
    <t>موری درو</t>
  </si>
  <si>
    <t>پاتوفیزیولوژی بیماریهای روماتیسمی و خودایمنی</t>
  </si>
  <si>
    <t>ویلیام . اف</t>
  </si>
  <si>
    <t>مبانی ژنتیک</t>
  </si>
  <si>
    <t xml:space="preserve">محمدتقی </t>
  </si>
  <si>
    <t>مازیار اشرفیان</t>
  </si>
  <si>
    <t>پزشکان برجسته در عصر تمدن اسلامی</t>
  </si>
  <si>
    <t>دیوید وایس</t>
  </si>
  <si>
    <t>شهریار شهیدی</t>
  </si>
  <si>
    <t>چشم پزشکی</t>
  </si>
  <si>
    <t>جک جی کانسکی</t>
  </si>
  <si>
    <t>معاینات کلینیکی در امراض چشمی</t>
  </si>
  <si>
    <t>هابر</t>
  </si>
  <si>
    <t>آموزش و پرورش</t>
  </si>
  <si>
    <t>سلامت و زیبایی پوست و مو</t>
  </si>
  <si>
    <t>شهناز چوپانکاره</t>
  </si>
  <si>
    <t>طرح آزمایشی در تحقیق روانی</t>
  </si>
  <si>
    <t>روان پزشکی قانونی</t>
  </si>
  <si>
    <t>طبقه بندی اختلالهای روانی و رفتاری</t>
  </si>
  <si>
    <t xml:space="preserve">افسردگی به زبان ساده </t>
  </si>
  <si>
    <t>اسکیزو فرنی ( بیماری روانی‌، روان‌گسیختگی )</t>
  </si>
  <si>
    <t>اسکیزوفرنی ( روان‌گسیختگی )</t>
  </si>
  <si>
    <t>اسرار خود هیپنوتیزم</t>
  </si>
  <si>
    <t xml:space="preserve">صمد ولی زاده </t>
  </si>
  <si>
    <t>لسلی م. لوکرون</t>
  </si>
  <si>
    <t xml:space="preserve"> جهان در مغز</t>
  </si>
  <si>
    <t>عبدالرحمن نجل</t>
  </si>
  <si>
    <t>ریچارد هیوارد</t>
  </si>
  <si>
    <t>کالبد شناسی سلسله اعصاب مرکزی</t>
  </si>
  <si>
    <t>احمدرضا سروش</t>
  </si>
  <si>
    <t>عباس تیرگانی</t>
  </si>
  <si>
    <t>سوزان س</t>
  </si>
  <si>
    <t>پیشگیری اجتماعی و مبارزه با بیماریهای قلبی- عروقی</t>
  </si>
  <si>
    <t>پرستاری در اختلالات دستگاه تناسلی مردان</t>
  </si>
  <si>
    <t>برونر سودارث</t>
  </si>
  <si>
    <t>مهدی فتحی</t>
  </si>
  <si>
    <t>روش کار در اتاق عمل و بهبودی</t>
  </si>
  <si>
    <t>فشار خون بالا و شیوه های درمان آن</t>
  </si>
  <si>
    <t>طهمورث فریزین</t>
  </si>
  <si>
    <t>رهنمای تشخیص و تداوی امراض چشم، گوش، گلو و بینی</t>
  </si>
  <si>
    <t>بیماریهای تنفسی، بیماریهای سیستم ایمنی و مفاصل</t>
  </si>
  <si>
    <t>اصغر ساداتیان</t>
  </si>
  <si>
    <t>روان درمانی اگزیستانسیال</t>
  </si>
  <si>
    <t>اروین د. یالوم</t>
  </si>
  <si>
    <t>آموزش کمک های اولیه</t>
  </si>
  <si>
    <t>مژده جلالی</t>
  </si>
  <si>
    <t>شهرناز مرتضوی</t>
  </si>
  <si>
    <t>کاربرد رادیواکتیو در پزشکی</t>
  </si>
  <si>
    <t>علیرضا منجمی</t>
  </si>
  <si>
    <t>سیروس جعفری</t>
  </si>
  <si>
    <t>شیزوفرنی</t>
  </si>
  <si>
    <t>مینگ. ت. تسوانگ</t>
  </si>
  <si>
    <t>چکیده پرستاری داخلی- جراحی</t>
  </si>
  <si>
    <t>برونر و سودارث</t>
  </si>
  <si>
    <t>بیماریهای عروق کرونر قلب</t>
  </si>
  <si>
    <t>محمود نیشابوری</t>
  </si>
  <si>
    <t>ج. وردن</t>
  </si>
  <si>
    <t>عباس صاحبقدم</t>
  </si>
  <si>
    <t>روان شناسی بالینی</t>
  </si>
  <si>
    <t>روش تحقیق در روان شناسی بالینی</t>
  </si>
  <si>
    <t>جلد</t>
  </si>
  <si>
    <t>محمد رضا نیکخو</t>
  </si>
  <si>
    <t>احسان سروش</t>
  </si>
  <si>
    <t>روان شناسی</t>
  </si>
  <si>
    <t>زمینه روان شناسی تندرستی</t>
  </si>
  <si>
    <t>رابرت جی. گاجل</t>
  </si>
  <si>
    <t>راز شاد زیستن</t>
  </si>
  <si>
    <t>آندرو متیوس</t>
  </si>
  <si>
    <t>دیوید دی برنز</t>
  </si>
  <si>
    <t>گیریجا کهانا</t>
  </si>
  <si>
    <t>آنتونی فاسی</t>
  </si>
  <si>
    <t>فیزولوژی پزشکی گایتون و هال</t>
  </si>
  <si>
    <t>آرتور گایتون</t>
  </si>
  <si>
    <t>نجیب الله امرخیل</t>
  </si>
  <si>
    <t>امراض کلینیکی چشم</t>
  </si>
  <si>
    <t>محمد ناصر نبی زاده</t>
  </si>
  <si>
    <t>غلام‌حضرت شب‌گرد</t>
  </si>
  <si>
    <t>درمان افسردگی و تغییر در شخصیت</t>
  </si>
  <si>
    <t>معرفی الکتروکاردیوگرافی</t>
  </si>
  <si>
    <t>احمدولی ودید</t>
  </si>
  <si>
    <t>احمدفواد پیرزاد</t>
  </si>
  <si>
    <t>بوعلی ابن سینا</t>
  </si>
  <si>
    <t>محسن ملک علایی</t>
  </si>
  <si>
    <t>اطلس الکتروکاردیوگرافی</t>
  </si>
  <si>
    <t>منوچهر قارونی</t>
  </si>
  <si>
    <t>الکتروکاردیوگرافی پیشرفته روش تشخیص</t>
  </si>
  <si>
    <t>حسین آذرنیک</t>
  </si>
  <si>
    <t>تفسیر اطلس الکتروکاردیوگرافیک آریتمی ها</t>
  </si>
  <si>
    <t>بیماریها و آندوسکپی دستگاه فوقانی گوارش</t>
  </si>
  <si>
    <t>حسن صالحی کرمانی</t>
  </si>
  <si>
    <t>صداها و سوفلهای قلبی با مقدمه بر صداهای ریوی</t>
  </si>
  <si>
    <t>حمید عاقلی</t>
  </si>
  <si>
    <t>الکتروفیزیولوژی قلب و پیس میکر درمانی</t>
  </si>
  <si>
    <t>مسعود علی‌پور</t>
  </si>
  <si>
    <t>از ناتوانی جنسی تا لذت جنسی</t>
  </si>
  <si>
    <t>رزماری لینکلن</t>
  </si>
  <si>
    <t>درمان لکنت زبان</t>
  </si>
  <si>
    <t>نانسی گروس</t>
  </si>
  <si>
    <t>جلد/ نسخه/ دوره</t>
  </si>
  <si>
    <t>تعداد صفحه</t>
  </si>
  <si>
    <t>موضوع</t>
  </si>
  <si>
    <t>شماره دی وی</t>
  </si>
  <si>
    <t>کتگوری</t>
  </si>
  <si>
    <t>قیمت فی</t>
  </si>
  <si>
    <t>مجموع قیمت</t>
  </si>
  <si>
    <t>الماری/قفسه</t>
  </si>
  <si>
    <t>طاقچه/ ردیف</t>
  </si>
  <si>
    <t>زبان</t>
  </si>
  <si>
    <t>شابک/ isbn</t>
  </si>
  <si>
    <t>طب</t>
  </si>
  <si>
    <t>طبی</t>
  </si>
  <si>
    <t>فارسی</t>
  </si>
  <si>
    <t>جان اف</t>
  </si>
  <si>
    <t xml:space="preserve">مترجم </t>
  </si>
  <si>
    <t>وراثت</t>
  </si>
  <si>
    <t>دکتر فرح شادان</t>
  </si>
  <si>
    <t>دوره</t>
  </si>
  <si>
    <t>روانشناسی</t>
  </si>
  <si>
    <t>نوید اسفندیاری</t>
  </si>
  <si>
    <t>میکروب شناسی</t>
  </si>
  <si>
    <t>حالت کتاب/ صحافی</t>
  </si>
  <si>
    <t>ساده</t>
  </si>
  <si>
    <t>گالینگور</t>
  </si>
  <si>
    <t>79م-24317</t>
  </si>
  <si>
    <t xml:space="preserve">فیزیولوژی </t>
  </si>
  <si>
    <t>79م-24318</t>
  </si>
  <si>
    <t>دکتر محمد رضا بیگدلی</t>
  </si>
  <si>
    <t>978-600-238-005-0</t>
  </si>
  <si>
    <t xml:space="preserve">محمد حسن عامری </t>
  </si>
  <si>
    <t>تعدادجلد/ دوره</t>
  </si>
  <si>
    <t>دنیس کاسپر</t>
  </si>
  <si>
    <t xml:space="preserve">هادی شیرزاد </t>
  </si>
  <si>
    <t xml:space="preserve">وراثت و تغذیه </t>
  </si>
  <si>
    <t>964-460-735-X</t>
  </si>
  <si>
    <t>مریم خالصی</t>
  </si>
  <si>
    <t>زیست شناسی</t>
  </si>
  <si>
    <t>964-6966-00-4</t>
  </si>
  <si>
    <t xml:space="preserve">مبانی ژنتیک مولکولی </t>
  </si>
  <si>
    <t xml:space="preserve">ابراهیم یزدی </t>
  </si>
  <si>
    <t xml:space="preserve">وراثت </t>
  </si>
  <si>
    <t>964-423-266-6</t>
  </si>
  <si>
    <t xml:space="preserve">دستیاران پژشکی به عنوان مدرسین </t>
  </si>
  <si>
    <t xml:space="preserve">توماس ل </t>
  </si>
  <si>
    <t>ملیحه کدیور</t>
  </si>
  <si>
    <t>راهنمایی آموزشی پزشکی</t>
  </si>
  <si>
    <t>964-423-409-X</t>
  </si>
  <si>
    <t>عبدالرحمن شرفکندی</t>
  </si>
  <si>
    <t>مهدی قوام صفری</t>
  </si>
  <si>
    <t>محمد رضا یحیایی</t>
  </si>
  <si>
    <t xml:space="preserve">سیاوش آگاه </t>
  </si>
  <si>
    <t>مسعود رجب نیا</t>
  </si>
  <si>
    <t>انگل شناسی پزشکی ( با اطلس رنگی )</t>
  </si>
  <si>
    <t>پرسشهای چهارگزینه ای زیست ملکولی</t>
  </si>
  <si>
    <t>فیزیولوژی پزشکی ( دوره ۲ جلدی ) هورمون</t>
  </si>
  <si>
    <t>فیزیولوژی اعصاب و غدد  درون ریز هورمون</t>
  </si>
  <si>
    <t>فیزیولوژی اعصاب و غدد هورمون</t>
  </si>
  <si>
    <t>فیزیولوژی کاربردی تنفس هورمون</t>
  </si>
  <si>
    <t>فیزیولوژی انسانی ( جلد اول ) هورمون</t>
  </si>
  <si>
    <t>کلیات فیزیولوژی پزشکی ( دوره ۲ جلدی )</t>
  </si>
  <si>
    <t>اصول طب داخلی هاریسون ژنتیک و تغذیه</t>
  </si>
  <si>
    <t>روان شناسی محیط ( تاثیر محیط بر رفتار انسان )</t>
  </si>
  <si>
    <t>ژنتیک رفتاری وراثت در روان شناسی و روان پزشکی</t>
  </si>
  <si>
    <t>قانون در طب ( دوره ۵ جلدی )</t>
  </si>
  <si>
    <t>مقدمات نورو سایکولوژی ( روان شناسی عصبی )</t>
  </si>
  <si>
    <t>نورو سایکولوژی و سایکوفیزیولوژی ( روان شناسی عصبی )</t>
  </si>
  <si>
    <t>روان شناسی فیزیولوژیک (روان شناسی عصبی )</t>
  </si>
  <si>
    <t>قانونچه ( در طب قدیم )</t>
  </si>
  <si>
    <t>ضروریات پزشکی قانونی</t>
  </si>
  <si>
    <t>پنج هزار سال پزشکی ( تاریخ طب )</t>
  </si>
  <si>
    <t>تاریخ پزشکی در ایران و تمدن اسلامی</t>
  </si>
  <si>
    <t>پزشکی چینی ( طب مقایسوی )</t>
  </si>
  <si>
    <t>پزشکی از تبار پژوهندگان ( سرگذشت ویلیام هاروی کاشف گردش خون )</t>
  </si>
  <si>
    <t>حفظ البدن ( رساله ای در بهداشت و تندرستی و سرگذشت فخر رازی )</t>
  </si>
  <si>
    <t>تقویم الا بدان فی تدبیر الانسان ( پزشکی اسلامی )</t>
  </si>
  <si>
    <t>کلیات طب ایرانی اسلامی ( در دوره تمدن اسلامی )</t>
  </si>
  <si>
    <t>دستنامه طب سنتی ایران ( تشخیص و درمان بیماریها )</t>
  </si>
  <si>
    <t>برکه شفا ( دائرة المعارف طب و بیماریها )</t>
  </si>
  <si>
    <t>نامه ها و گزارش های پزشکی ( یاکوب ادوارد پولاک ) از ایران</t>
  </si>
  <si>
    <t>رازهای تندرستی ( تازه ترین دستاوردهای طب در هزاره سوم میلادی )</t>
  </si>
  <si>
    <t>مقالات صاحبنظران درباره اخلاق پزشکی</t>
  </si>
  <si>
    <t>جامعه شناسی پزشکی ( صحت عامه )</t>
  </si>
  <si>
    <t>پزشک خانواده مغز و سیستم عصبی</t>
  </si>
  <si>
    <t>پزشک خانواده پوست مو و ناخن</t>
  </si>
  <si>
    <t>راهنمای پزشکی خانواده بیماریهای پوست، مو و ناخن</t>
  </si>
  <si>
    <t>تشخیص و درمان جوشهای صورت ( آکنه )</t>
  </si>
  <si>
    <t>پزشک خانواده چشم و گوش</t>
  </si>
  <si>
    <t>بیماریهای چشم و بینائی</t>
  </si>
  <si>
    <t>تظاهرات چشمی ( بیماریها )</t>
  </si>
  <si>
    <t>روش تعیین مقدار نادرستیهای شکست نوری چشم</t>
  </si>
  <si>
    <t>پزشک خانواده زندگی سالم</t>
  </si>
  <si>
    <t>پزشک خانواده بینی، حلق، ریه و قلب</t>
  </si>
  <si>
    <t>پزشک خانواده رفتار و روان</t>
  </si>
  <si>
    <t>پزشک خانواده دستگاه گوارش</t>
  </si>
  <si>
    <t>پزشک خانواده مشکلات جنسی مردان</t>
  </si>
  <si>
    <t>پزشک خانواده دستگاه ادراری</t>
  </si>
  <si>
    <t>پزشک خانواده حاملگی و زایمان</t>
  </si>
  <si>
    <t>پزشک خانواده استخوان مفاصل و عضلات</t>
  </si>
  <si>
    <t>پزشک خانواده مشکلات عمومی</t>
  </si>
  <si>
    <t>پزشک خانواده وزن گیری و رشد</t>
  </si>
  <si>
    <t>رازهای شاد زیستن چگونه شنونده خوبی باشیم</t>
  </si>
  <si>
    <t>رازهای شاد زیستن فلسفه گیاهخواری</t>
  </si>
  <si>
    <t>رازهای شاد زیستن هیچکس کامل نیست</t>
  </si>
  <si>
    <t>رازهای شاد زیستن نیروی شفابخش عشق</t>
  </si>
  <si>
    <t>رازهای شاد زیستن یک دقیقه هم به خودتان برسید</t>
  </si>
  <si>
    <t>رازهای شاد زیستن چه چیز واقعا ارزش دارد</t>
  </si>
  <si>
    <t>رازهای شاد زیستن درباره پیاده روی</t>
  </si>
  <si>
    <t>رازهای شاد زیستن آنچه مردها از زنها نمیدانند</t>
  </si>
  <si>
    <t xml:space="preserve">رازهای شاد زیستن نه کلید طلائی </t>
  </si>
  <si>
    <t>رازهای شاد زیستن به این حرفها گوش کنید</t>
  </si>
  <si>
    <t>رازهای شاد زیستن دوست داشتن یعنی چه</t>
  </si>
  <si>
    <t>رازهای شاد زیستن مصاحبه با خدا در خواب</t>
  </si>
  <si>
    <t>رازهای شاد زیستن فرشتگان روی صفحه انترنت</t>
  </si>
  <si>
    <t>رازهای شاد زیستن سامان دادن وقت</t>
  </si>
  <si>
    <t>رازهای شاد زیستن چه کاری را زنان بهتر بلد اند</t>
  </si>
  <si>
    <t>رازهای شاد زیستن هفده نوع دوستی</t>
  </si>
  <si>
    <t>رازهای شاد زیستن ارزش یک لبخند</t>
  </si>
  <si>
    <t>رازهای شاد زیستن همسران موفق اینطورند</t>
  </si>
  <si>
    <t>رازهای شاد زیستن هفت جمله ای که نباید گفت</t>
  </si>
  <si>
    <t>زندگی سالم (‌سلامتی، تغذیه، ورزش، رژیم غذایی )</t>
  </si>
  <si>
    <t>راهنمای پزشکی خانواده سلامتی و نحوه زندگی</t>
  </si>
  <si>
    <t>راز نگهداری مو و جلوگیری از ریزش آن</t>
  </si>
  <si>
    <t>گامی به سوی زیبائی و سلامتی ( پوست، مو، اندام )</t>
  </si>
  <si>
    <t>لیفتینگ ( پرورش صورت بدون جراحی )</t>
  </si>
  <si>
    <t>همه چیز در باره ویتامینها</t>
  </si>
  <si>
    <t>دیکسیونر ویتامینها ( مواد معدنی، اسید آمینه .... )</t>
  </si>
  <si>
    <t>پزشک خانواده کمک های اولیه</t>
  </si>
  <si>
    <t>فوریتهای پرستاری ( کمک های اولیه در بخش اورژانس )</t>
  </si>
  <si>
    <t>امداد پزشکی ( کمک های اولیه )</t>
  </si>
  <si>
    <t>روان شناسی سلامت  بهداشت روانی ( دوره ۲ جلدی )</t>
  </si>
  <si>
    <t>اختلالهای زبان لکنت زبان ( روان شناسی مرضی تحولی )</t>
  </si>
  <si>
    <t>چکیده بیماریهای عفونی هاریسون</t>
  </si>
  <si>
    <t>مبانی طب داخلی سسیل بیماریهای عفونی</t>
  </si>
  <si>
    <t>بیماریهای عفونی در ایران ( بیماریهای باکتریال - بیماریهای ویروسی ) دوره ۲ جلدی</t>
  </si>
  <si>
    <t>ژنتیک توارث و سرطان</t>
  </si>
  <si>
    <t>متابولیسم سرب و مسمومیت های ناشی از آن</t>
  </si>
  <si>
    <t>عناصر پنجگانه در روان شناسی انسان « چوب، آتش، خاک، فلز و آب »</t>
  </si>
  <si>
    <t>روشهای پژوهشی در روان شناسی بالینی و مشاوره</t>
  </si>
  <si>
    <t>اصول روان پزشکی بالینی ( روش درمان اختلالهای روانی )</t>
  </si>
  <si>
    <t>مباحث عمده در روانپزشکی ( اضطراب )</t>
  </si>
  <si>
    <t>روان درمانگری پویشی فشرده و کوتاه مدت مبادی و فنون</t>
  </si>
  <si>
    <t>۱۰ گام تا عزت نفس ( روان درمانی گروهی )</t>
  </si>
  <si>
    <t>استرس ( فشار روانی، غلبه بر اضطراب )</t>
  </si>
  <si>
    <t>روان شناسی افسردگی زنان</t>
  </si>
  <si>
    <t>اتو هیپنوتیزم ( خودهیپنوتیزم کردن )</t>
  </si>
  <si>
    <t>روان شناسی ابراز وجود ( قاطعیت، خود‌شناساندن، روان شناسی ارتباط )</t>
  </si>
  <si>
    <t>استرس ( توصیه های علمی برای کاهش و غلبه بر استرس ....  )</t>
  </si>
  <si>
    <t>ماندن در وضعیت آخر ( رفتار متقابیل، روان شناسی احساس )</t>
  </si>
  <si>
    <t>رنج و التیام در سوگواری و داغدیدگی  ( روان شناسی احساس )</t>
  </si>
  <si>
    <t>قدرت مغز سالم ( اصول حفظ تواناییهای مغز، بهداشت روانی )</t>
  </si>
  <si>
    <t>تشریح سر و گردن و اعصاب مغزی ( کالبدشناسی انسانی )</t>
  </si>
  <si>
    <t>اصول طب داخلی هاریسون بیماریهای مغز و اعصاب</t>
  </si>
  <si>
    <t>اعصاب ( بیماریهای اعصاب، نورولوژی )</t>
  </si>
  <si>
    <t>آلرژی (‌ حساسیت )</t>
  </si>
  <si>
    <t>بیماری ویلسون ( وجود مس در بدن انسان )</t>
  </si>
  <si>
    <t>تفسیر و تشخیص و درمان بیماریها ( دوره ۲ جلدی )</t>
  </si>
  <si>
    <t>اصول تشخیص و درمان بیماری های شایع ( بیماری شناسی )</t>
  </si>
  <si>
    <t>شناخت بیماریها و راه های پیشگیری و مبارزه با آنها</t>
  </si>
  <si>
    <t>شناخت امراض و معرفی روش حفظ تندرستی</t>
  </si>
  <si>
    <t>اصول طب داخلی هاریسون ۲۰۰۵ بیماریهای قلب و عروق</t>
  </si>
  <si>
    <t>بیماریهای قلب و عروق ( مبانی طب سسیل )</t>
  </si>
  <si>
    <t>بیماریهای قلب و عروق</t>
  </si>
  <si>
    <t>مراقبتهاس پرستاری از بیماران مبتلا به بیماریهای دستگاه قلب و عروق</t>
  </si>
  <si>
    <t>مراقبتهای ویژه قلبی ( پرستاری از بیماران قلبی )</t>
  </si>
  <si>
    <t>مفاهیم و مراقبت پرستاری اتاق عمل</t>
  </si>
  <si>
    <t>چگونه از حمله قلبی در امان باشیم</t>
  </si>
  <si>
    <t>مبارزه با مرگهای ناگهانی و احیای قلبی ریوی پیشرفته</t>
  </si>
  <si>
    <t>پایه و اساس الکتروکاردیوگرافی قلب</t>
  </si>
  <si>
    <t>دیابت به زبان ساده ( ‌قند خون )</t>
  </si>
  <si>
    <t>دانستنیهای از دیابت ( قند خون )</t>
  </si>
  <si>
    <t>پرستاری داخلی – جراحی پرستای بیماریهای دستگاه تنفس</t>
  </si>
  <si>
    <t>کالبد شناسی شکم ( بطن )</t>
  </si>
  <si>
    <t>سیر تحول روشهای تصویر نگاری پزشکی از رونتگن تا امروز</t>
  </si>
  <si>
    <t>بیماری فشار خون به زبان ساده</t>
  </si>
  <si>
    <t xml:space="preserve">کم خونی به زبان ساده </t>
  </si>
  <si>
    <t>اختلالات چربی خون بزبان ساده</t>
  </si>
  <si>
    <t>رژیمهای غذایی فشار خون و بیماریهای قلب</t>
  </si>
  <si>
    <t>افزایش فشار خون بررسی- تشخیص و درمان</t>
  </si>
  <si>
    <t>بیماریهای خون و سیستم ایمنی</t>
  </si>
  <si>
    <t xml:space="preserve">لوکمی (‌ سرطان خون ) به زبان ساده </t>
  </si>
  <si>
    <t>راه پیشگیری و مقاومت در برابر ایدز</t>
  </si>
  <si>
    <t>بیماریهای تیروئید ( بزبان ساده )</t>
  </si>
  <si>
    <t>سرطانهای شایع دستگاه گوارش بزبان ساده</t>
  </si>
  <si>
    <t xml:space="preserve">سوء هاضمه و درد سر دل بزبان ساده </t>
  </si>
  <si>
    <t>سوء هاضمه و زخمهای معده واثنی عشر</t>
  </si>
  <si>
    <t xml:space="preserve">سوزش سر دل بزبان ساده </t>
  </si>
  <si>
    <t>رژیمهای غذایی معده ( ‌اثنی عشر )</t>
  </si>
  <si>
    <t>اصول طب داخلی هاریسون ۲۰۰۵ بیماریهای دستگاه گوارش</t>
  </si>
  <si>
    <t>اصول طب داخلی هاریسون 1991 اختلالات دستگاه گوارش</t>
  </si>
  <si>
    <t>مبانی طب سسیل بیماریهای دستگاه گوارش کبد و سیستم صفراوی</t>
  </si>
  <si>
    <t>اصول طب داخلی هاریسون ۲۰۰۱-۵ بیماریهای کبد و مجاری صفراوی</t>
  </si>
  <si>
    <t>اصول طب داخلی هاریسون ۲۰۰۵ بیماریهای کبد و مجاری صفراوی</t>
  </si>
  <si>
    <t>اصول طب داخلی هاریسون۲۰۰۱ بیماریهای غدد و میتابولسم</t>
  </si>
  <si>
    <t>آموزش بیماریهای گوش، حلق، بینی و سر و گردن ( با اطلس رنگی )</t>
  </si>
  <si>
    <t>تظاهرات اصلی و درمان بیماریهای گوش- حلق و بینی</t>
  </si>
  <si>
    <t>اصول طب داخلی هاریسون۲۰۰۱ بیماریهای دستگاه تنفس</t>
  </si>
  <si>
    <t>اصول طب داخلی هاریسون۲۰۰۵ بیماریهای دستگاه تنفس</t>
  </si>
  <si>
    <t>آسم ( به زبان ساده ) بیماریهای تنفسی</t>
  </si>
  <si>
    <t>زخم معده و اثنی عشر ( علایم و نشانه ها، آزمایش ها، تشخیص و درمان )</t>
  </si>
  <si>
    <t>فشار خون  ( علایم و نشانه ها، آزمایش ها، تشخیص و درمان )</t>
  </si>
  <si>
    <t>یائسگی  ( علایم و نشانه ها، آزمایش ها، تشخیص و درمان )</t>
  </si>
  <si>
    <t>ام اس ( Multiple Sclerosis)  ( علایم و نشانه ها، آزمایش ها، تشخیص و درمان )</t>
  </si>
  <si>
    <t>آلرژی و انواع حساسیت ها  ( علایم و نشانه ها، آزمایش ها، تشخیص و درمان )</t>
  </si>
  <si>
    <t>بیماریهای کودکان  ( علایم و نشانه ها، آزمایش ها، تشخیص و درمان )</t>
  </si>
  <si>
    <t>سرطان  ( علایم و نشانه ها، آزمایش ها، تشخیص و درمان )</t>
  </si>
  <si>
    <t>حاملگی و زایمان هفته به هفته  ( علایم و نشانه ها، آزمایش ها، تشخیص و درمان )</t>
  </si>
  <si>
    <t>میگرن و انواع سردرد ها  ( علایم و نشانه ها، آزمایش ها، تشخیص و درمان )</t>
  </si>
  <si>
    <t>پروستات ( علایم و نشانه ها، آزمایش ها، تشخیص و درمان )</t>
  </si>
  <si>
    <t>آرتروز و سایر بیماریهای مفصلی  ( علایم و نشانه ها، آزمایش ها، تشخیص و درمان )</t>
  </si>
  <si>
    <t>ایدز ( علایم و نشانه ها، آزمایش ها، تشخیص و درمان )</t>
  </si>
  <si>
    <t xml:space="preserve"> مراقبت از پوست و مو  ( علایم و نشانه ها، آزمایش ها، تشخیص و درمان )</t>
  </si>
  <si>
    <t>آسم  ( علایم و نشانه ها، آزمایش ها، تشخیص و درمان )</t>
  </si>
  <si>
    <t>افسردگی  ( علایم و نشانه ها، آزمایش ها، تشخیص و درمان )</t>
  </si>
  <si>
    <t>بیماریهای ترویید گواتز ( علایم و نشانه ها، آزمایش ها، تشخیص و درمان )</t>
  </si>
  <si>
    <t>تاریخ طب</t>
  </si>
  <si>
    <t>978-600-5397-47-5</t>
  </si>
  <si>
    <t>همایون مصلحی</t>
  </si>
  <si>
    <t>فلسفه طب</t>
  </si>
  <si>
    <t>964-5625-58-0</t>
  </si>
  <si>
    <t xml:space="preserve">علی احمدی بهنام </t>
  </si>
  <si>
    <t xml:space="preserve">فرخ شادان </t>
  </si>
  <si>
    <t>علی اضغر بهرام بیگی</t>
  </si>
  <si>
    <t>978-600-7463-03-1</t>
  </si>
  <si>
    <t xml:space="preserve">تورج آرامش </t>
  </si>
  <si>
    <t>978-964-5682-55-0</t>
  </si>
  <si>
    <t>964-6414-02-8</t>
  </si>
  <si>
    <t>964-392-071-02</t>
  </si>
  <si>
    <t>964-392-080-6</t>
  </si>
  <si>
    <t>978-964-8477-55-9</t>
  </si>
  <si>
    <t>964-396-032-3</t>
  </si>
  <si>
    <t xml:space="preserve">داکتر رمضان علی </t>
  </si>
  <si>
    <t>964-6700-95-0</t>
  </si>
  <si>
    <t>964-0392-072-0</t>
  </si>
  <si>
    <t>داداکتر احسان سرو ش</t>
  </si>
  <si>
    <t>964-8160-09-0</t>
  </si>
  <si>
    <t xml:space="preserve">غلام حسین بعقوبی </t>
  </si>
  <si>
    <t>964-92481-1-1</t>
  </si>
  <si>
    <t xml:space="preserve">بهرام فتاحی </t>
  </si>
  <si>
    <t xml:space="preserve">منصور داروی </t>
  </si>
  <si>
    <t>964-392-084-8</t>
  </si>
  <si>
    <t>9564-392-083-6</t>
  </si>
  <si>
    <t xml:space="preserve">مرضیه صابری </t>
  </si>
  <si>
    <t>964-392-074-7</t>
  </si>
  <si>
    <t>964-392-070-4</t>
  </si>
  <si>
    <t>964-392-078-2</t>
  </si>
  <si>
    <t>964-392-078-4</t>
  </si>
  <si>
    <t>964-92-075-5</t>
  </si>
  <si>
    <t>964-392-073-9</t>
  </si>
  <si>
    <t>راهنمای بانوان</t>
  </si>
  <si>
    <t xml:space="preserve">جلد </t>
  </si>
  <si>
    <t>بیماری شناسی  و درمان</t>
  </si>
  <si>
    <t xml:space="preserve">مینو احمد سرتیب </t>
  </si>
  <si>
    <t xml:space="preserve">تغذیه </t>
  </si>
  <si>
    <t>بهداشت بدن</t>
  </si>
  <si>
    <t>964-94316-5-9</t>
  </si>
  <si>
    <t>وحید افضلی راد</t>
  </si>
  <si>
    <t>964-91358-1-0</t>
  </si>
  <si>
    <t xml:space="preserve">محمد زضا آل یاسین </t>
  </si>
  <si>
    <t>964-91466-4-4</t>
  </si>
  <si>
    <t>978-600-186-011-9</t>
  </si>
  <si>
    <t>درسنامه جامع پوست ایران</t>
  </si>
  <si>
    <t>سلامت پوست</t>
  </si>
  <si>
    <t>64-456-549-5</t>
  </si>
  <si>
    <t>بابک مهر آئین</t>
  </si>
  <si>
    <t>964-7993-31-5</t>
  </si>
  <si>
    <t>حفظ الصحه</t>
  </si>
  <si>
    <t>9648160-29-5</t>
  </si>
  <si>
    <t>964-392-330-4</t>
  </si>
  <si>
    <t>هما سید احمدی</t>
  </si>
  <si>
    <t>964-7230-08-7</t>
  </si>
  <si>
    <t>مریم زنگنه</t>
  </si>
  <si>
    <t>جبد</t>
  </si>
  <si>
    <t>مهدوخت سپرخوی</t>
  </si>
  <si>
    <t>964-5637-22-8</t>
  </si>
  <si>
    <t>964-7281-21-8</t>
  </si>
  <si>
    <t>964-7281-07-2</t>
  </si>
  <si>
    <t>جیبی</t>
  </si>
  <si>
    <t>964-7281-09-9</t>
  </si>
  <si>
    <t>964-92612-0-6</t>
  </si>
  <si>
    <t>964-7281-19-6</t>
  </si>
  <si>
    <t>964-7281-10-2</t>
  </si>
  <si>
    <t>964-7281-06-4</t>
  </si>
  <si>
    <t>964-7281-04-8</t>
  </si>
  <si>
    <t>رهنمای رانندگی</t>
  </si>
  <si>
    <t>اجتماعی</t>
  </si>
  <si>
    <t>رازهای شاد زیستن سی و سه راه برای پراکندن شادی</t>
  </si>
  <si>
    <t>964-7281-20-x</t>
  </si>
  <si>
    <t>964-7281-08-0</t>
  </si>
  <si>
    <t>964-92612-6-5</t>
  </si>
  <si>
    <t>964-92612-8-1</t>
  </si>
  <si>
    <t>اسرار شعبده بازی</t>
  </si>
  <si>
    <t>جیرل واکر</t>
  </si>
  <si>
    <t>کاظم فایقی</t>
  </si>
  <si>
    <t>فوت و فن</t>
  </si>
  <si>
    <t>سرگرمی</t>
  </si>
  <si>
    <t>978-964-5750-07-5</t>
  </si>
  <si>
    <t>964-92612-5-7</t>
  </si>
  <si>
    <t>964-92612-2-2</t>
  </si>
  <si>
    <t>964-92612-3-0</t>
  </si>
  <si>
    <t>964-7281-22-0</t>
  </si>
  <si>
    <t>964-92612-1-4</t>
  </si>
  <si>
    <t>964-7281-05-6</t>
  </si>
  <si>
    <t>964-92612-7-3</t>
  </si>
  <si>
    <t>964-91295-1-0</t>
  </si>
  <si>
    <t xml:space="preserve">بیماری شناسی </t>
  </si>
  <si>
    <t xml:space="preserve">رضا یاوری </t>
  </si>
  <si>
    <t xml:space="preserve">کمک اولیه </t>
  </si>
  <si>
    <t>سیلابوس</t>
  </si>
  <si>
    <t>بیمارشناسی</t>
  </si>
  <si>
    <t>964-301-03-1</t>
  </si>
  <si>
    <t>محمد تربیت</t>
  </si>
  <si>
    <t>بیماریشناسی</t>
  </si>
  <si>
    <t>964-5855-44-6</t>
  </si>
  <si>
    <t>اصول طب داخلی هاریسون بیماریهای عفونی ( دوره ۲ جلدی )</t>
  </si>
  <si>
    <t>بیماریهای عفونی در ایران ( بیماریهای باکتریال  )</t>
  </si>
  <si>
    <t>بیماریهای عفونی در ایران ( بیماریهای باکتریال )</t>
  </si>
  <si>
    <t>اختلال زبان</t>
  </si>
  <si>
    <t>964-459-453-3</t>
  </si>
  <si>
    <t>محمد کاویانی</t>
  </si>
  <si>
    <t>سلامت روان</t>
  </si>
  <si>
    <t>964-459-399-5</t>
  </si>
  <si>
    <t>انجمن ئزشکی بریتانیا</t>
  </si>
  <si>
    <t>964-6221-93-8</t>
  </si>
  <si>
    <t>964-9944-16-8</t>
  </si>
  <si>
    <t>یاور دهقان</t>
  </si>
  <si>
    <t>حمید بشریه</t>
  </si>
  <si>
    <t>درمان سرطان</t>
  </si>
  <si>
    <t>بهرام حاجی زاده</t>
  </si>
  <si>
    <t>964-456-928-8</t>
  </si>
  <si>
    <t>حمید رضا صفا</t>
  </si>
  <si>
    <t>بیماری شناسی</t>
  </si>
  <si>
    <t>964-8160-04</t>
  </si>
  <si>
    <t>صلیب سرخ</t>
  </si>
  <si>
    <t>964-7617-35-6</t>
  </si>
  <si>
    <t>غلام رضا خوی نجات</t>
  </si>
  <si>
    <t>چلد</t>
  </si>
  <si>
    <t>964-6700-09-8</t>
  </si>
  <si>
    <t>964-91-128-0-4</t>
  </si>
  <si>
    <t>964-91365-5</t>
  </si>
  <si>
    <t>جواد وهابزاده</t>
  </si>
  <si>
    <t>964-450-054-3</t>
  </si>
  <si>
    <t>معصومه آقا محمدی</t>
  </si>
  <si>
    <t>964-364-600-4</t>
  </si>
  <si>
    <t>964-392-102-6</t>
  </si>
  <si>
    <t>964-6321-97-6</t>
  </si>
  <si>
    <t>لیلی مهدوی راد</t>
  </si>
  <si>
    <t>964-6961-56-8</t>
  </si>
  <si>
    <t xml:space="preserve">روانپزشکی </t>
  </si>
  <si>
    <t>964-5983-15-0</t>
  </si>
  <si>
    <t>سیده روقیه یثربی</t>
  </si>
  <si>
    <t>964-459-711-7</t>
  </si>
  <si>
    <t>964-6961-88-6</t>
  </si>
  <si>
    <t>ای . جری فیرس</t>
  </si>
  <si>
    <t>964-7537-40-9</t>
  </si>
  <si>
    <t>پاول/ ولیندزی</t>
  </si>
  <si>
    <t xml:space="preserve">اختلال روانی </t>
  </si>
  <si>
    <t>964-6961-51-7</t>
  </si>
  <si>
    <t xml:space="preserve">سپبده حبیب </t>
  </si>
  <si>
    <t>روانشناسی وجود</t>
  </si>
  <si>
    <t>978-964-185-169-1</t>
  </si>
  <si>
    <t>راهنمایی تشخیصی و آماری اختلالهای روانی</t>
  </si>
  <si>
    <t>انجمن روانپزشکی</t>
  </si>
  <si>
    <t>964-5982-24-x</t>
  </si>
  <si>
    <t>تحقیق روانی</t>
  </si>
  <si>
    <t>مهشید یاسایی</t>
  </si>
  <si>
    <t>بهزاد رحمتی</t>
  </si>
  <si>
    <t>964-90-637-5-7</t>
  </si>
  <si>
    <t>978-964-2736-17-1</t>
  </si>
  <si>
    <t>حسین غضنفری</t>
  </si>
  <si>
    <t>964-396-077-3</t>
  </si>
  <si>
    <t>محمد معمارزاده</t>
  </si>
  <si>
    <t>964-396-46-3</t>
  </si>
  <si>
    <t>اکبر رهنما</t>
  </si>
  <si>
    <t>ایرج صادقی</t>
  </si>
  <si>
    <t>964-90141-0-1</t>
  </si>
  <si>
    <t>گیتی شهیدی</t>
  </si>
  <si>
    <t>978-600-5462-30-2</t>
  </si>
  <si>
    <t>964-445-068</t>
  </si>
  <si>
    <t>مهدی قراچه داغی</t>
  </si>
  <si>
    <t>درمان روانی</t>
  </si>
  <si>
    <t>964-459-774-5</t>
  </si>
  <si>
    <t>964-5524-59-8</t>
  </si>
  <si>
    <t>محمد قائد</t>
  </si>
  <si>
    <t>964-5625-08-4</t>
  </si>
  <si>
    <t>اسماعیل فصیح</t>
  </si>
  <si>
    <t>964-93262-1-9</t>
  </si>
  <si>
    <t>حساسیت</t>
  </si>
  <si>
    <t>964-396-048</t>
  </si>
  <si>
    <t>شقایق قندهاری</t>
  </si>
  <si>
    <t>964-346-055-06</t>
  </si>
  <si>
    <t>احمد شریف تبریزی</t>
  </si>
  <si>
    <t>964-6542-06-9</t>
  </si>
  <si>
    <t>مغز</t>
  </si>
  <si>
    <t>هیپنوتیزم</t>
  </si>
  <si>
    <t>اعصاب</t>
  </si>
  <si>
    <t>کالبد شناسی</t>
  </si>
  <si>
    <t>964-416-114-9</t>
  </si>
  <si>
    <t>جراجی مغز</t>
  </si>
  <si>
    <t>964-6046091-1</t>
  </si>
  <si>
    <t>جراحی</t>
  </si>
  <si>
    <t>یدالله همایونفر</t>
  </si>
  <si>
    <t>964-91046-0-7</t>
  </si>
  <si>
    <t>964-93859-7-5</t>
  </si>
  <si>
    <t xml:space="preserve">ابراهیم کتابچی </t>
  </si>
  <si>
    <t>سیامک میلان چی</t>
  </si>
  <si>
    <t>بیماری</t>
  </si>
  <si>
    <t>شوک</t>
  </si>
  <si>
    <t>مغز و اعصاب</t>
  </si>
  <si>
    <t>964-8160-05-8</t>
  </si>
  <si>
    <t>هاریسون</t>
  </si>
  <si>
    <t>سسیل</t>
  </si>
  <si>
    <t>964-460-378-8</t>
  </si>
  <si>
    <t>تلیکام کونوور</t>
  </si>
  <si>
    <t>964-7916-09-04</t>
  </si>
  <si>
    <t>964-416030-4</t>
  </si>
  <si>
    <t>محمود حکیمی</t>
  </si>
  <si>
    <t>شهرام عبدلی</t>
  </si>
  <si>
    <t>964-7758-25-5</t>
  </si>
  <si>
    <t>شناخت امراض</t>
  </si>
  <si>
    <t>ناصر عزتی</t>
  </si>
  <si>
    <t>964-5670-27-6</t>
  </si>
  <si>
    <t>بهرام مکری</t>
  </si>
  <si>
    <t>تشخیص بیماریها</t>
  </si>
  <si>
    <t>امراض قلبی</t>
  </si>
  <si>
    <t>افسردگی</t>
  </si>
  <si>
    <t>عزت نفس</t>
  </si>
  <si>
    <t>بیماری روانی</t>
  </si>
  <si>
    <t>بهداشت روانی</t>
  </si>
  <si>
    <t>هدایت الله الیاثی</t>
  </si>
  <si>
    <t>احیای قلبی</t>
  </si>
  <si>
    <t>964-90-722-5</t>
  </si>
  <si>
    <t>انتقال خون</t>
  </si>
  <si>
    <t>آندوسکوپی</t>
  </si>
  <si>
    <t>پرستاری</t>
  </si>
  <si>
    <t>بیماری قلبی</t>
  </si>
  <si>
    <t>مهران نیایش</t>
  </si>
  <si>
    <t>تصویرنگاری پزشکی</t>
  </si>
  <si>
    <t>بهروز بیضایی</t>
  </si>
  <si>
    <t>قند خون</t>
  </si>
  <si>
    <t>مرتضی دلاورخان</t>
  </si>
  <si>
    <t>آزمون خون</t>
  </si>
  <si>
    <t>964-5736-82-X</t>
  </si>
  <si>
    <t>التراسوند</t>
  </si>
  <si>
    <t>محمدناصر فروتن</t>
  </si>
  <si>
    <t>خون</t>
  </si>
  <si>
    <t>978-964-2736-08-9</t>
  </si>
  <si>
    <t>964-96445-8-x</t>
  </si>
  <si>
    <t>964-96445-6-3</t>
  </si>
  <si>
    <t>فریبا زهروی</t>
  </si>
  <si>
    <t>964-91138-7-8</t>
  </si>
  <si>
    <t>آلیس قاچیان</t>
  </si>
  <si>
    <t>964-5855-30-6</t>
  </si>
  <si>
    <t>964-92092-8</t>
  </si>
  <si>
    <t>964-740057-8</t>
  </si>
  <si>
    <t>964-396-038-2</t>
  </si>
  <si>
    <t>964-5514-75-4</t>
  </si>
  <si>
    <t>آنابل تیموری مقدم</t>
  </si>
  <si>
    <t>964-8160-06-6</t>
  </si>
  <si>
    <t>964-5876-40</t>
  </si>
  <si>
    <t>978-964-2336-10-2</t>
  </si>
  <si>
    <t>محسن فدایی</t>
  </si>
  <si>
    <t>964-5982-46-4</t>
  </si>
  <si>
    <t>وحید زمان زاده</t>
  </si>
  <si>
    <t>حسن محاجری</t>
  </si>
  <si>
    <t>964-460605-1</t>
  </si>
  <si>
    <t>978-964-2736-01-0</t>
  </si>
  <si>
    <t>978-2736-15-7</t>
  </si>
  <si>
    <t>نشر کردگاری مشهد 1385 اول</t>
  </si>
  <si>
    <t>964-2736-3-9</t>
  </si>
  <si>
    <t>964-92769-5-5</t>
  </si>
  <si>
    <t>964-92769-4-7</t>
  </si>
  <si>
    <t>فرشاد نجفی پور</t>
  </si>
  <si>
    <t>964-5885-01-09</t>
  </si>
  <si>
    <t>محمد دانش پژوه</t>
  </si>
  <si>
    <t>978-964-2736-02-07</t>
  </si>
  <si>
    <t>نشر کردگاری تهران 1385 اول</t>
  </si>
  <si>
    <t>978-964-2736-09-06</t>
  </si>
  <si>
    <t>آرش اخگری</t>
  </si>
  <si>
    <t>امید شریفی</t>
  </si>
  <si>
    <t>964-5855-36-5</t>
  </si>
  <si>
    <t>خسرو سبحانی</t>
  </si>
  <si>
    <t>964-5855-34-9</t>
  </si>
  <si>
    <t>علی اکبر نصیری افشار</t>
  </si>
  <si>
    <t>964-7957-98-x</t>
  </si>
  <si>
    <t>964-7957-98</t>
  </si>
  <si>
    <t>964-7957-87-4</t>
  </si>
  <si>
    <t>964-2736-4-7</t>
  </si>
  <si>
    <t>964-2736-6-3</t>
  </si>
  <si>
    <t>964-2736-00-3</t>
  </si>
  <si>
    <t>حسن شراف الدین زاده</t>
  </si>
  <si>
    <t>964-311-313</t>
  </si>
  <si>
    <t>964-396-031-</t>
  </si>
  <si>
    <t>964-7400-59-4</t>
  </si>
  <si>
    <t>امان قوقچی</t>
  </si>
  <si>
    <t>منوچهر بشیریان</t>
  </si>
  <si>
    <t>964-5723-84-1</t>
  </si>
  <si>
    <t>964-5723-37</t>
  </si>
  <si>
    <t>964-5123-42-6</t>
  </si>
  <si>
    <t>نشر عصر کتاب 1384 چهارم</t>
  </si>
  <si>
    <t>964-5723-85</t>
  </si>
  <si>
    <t>964-5723-35-3</t>
  </si>
  <si>
    <t>964-5723-81-7</t>
  </si>
  <si>
    <t>964-5723-74-4</t>
  </si>
  <si>
    <t>964-5723-86-8</t>
  </si>
  <si>
    <t>964-5723-45-0</t>
  </si>
  <si>
    <t>هاضمه</t>
  </si>
  <si>
    <t>964-396-040-4</t>
  </si>
  <si>
    <t>نشر عصر کتاب تهران 1381 اول</t>
  </si>
  <si>
    <t>964-5723-59-0</t>
  </si>
  <si>
    <t>امراض ساری</t>
  </si>
  <si>
    <t>مایکل آدلر</t>
  </si>
  <si>
    <t>بیماری ساری</t>
  </si>
  <si>
    <t>964-5723-58-2</t>
  </si>
  <si>
    <r>
      <t xml:space="preserve"> آکنه جوش غرور جوانی(</t>
    </r>
    <r>
      <rPr>
        <sz val="11"/>
        <rFont val="B Nazanin"/>
        <charset val="178"/>
      </rPr>
      <t xml:space="preserve"> علایم و نشانه ها، آزمایش</t>
    </r>
    <r>
      <rPr>
        <sz val="12"/>
        <rFont val="B Nazanin"/>
        <charset val="178"/>
      </rPr>
      <t xml:space="preserve"> </t>
    </r>
    <r>
      <rPr>
        <sz val="11"/>
        <rFont val="B Nazanin"/>
        <charset val="178"/>
      </rPr>
      <t>ها، تشخیص و درمان )</t>
    </r>
  </si>
  <si>
    <t>تیم میچل</t>
  </si>
  <si>
    <t>جوش صورت</t>
  </si>
  <si>
    <t>964-5723-61-2</t>
  </si>
  <si>
    <t>نشر عصر کتاب تهران 1380 هشتم</t>
  </si>
  <si>
    <t>نشر عصر کتاب تهران 1381 ششم</t>
  </si>
  <si>
    <t>بیماری تنفس</t>
  </si>
  <si>
    <t>964-5723-31-0</t>
  </si>
  <si>
    <t>کوام مک کنیزی</t>
  </si>
  <si>
    <t>نشر عصر کتاب تهران 1382 سوم</t>
  </si>
  <si>
    <t>964-5723-54-X</t>
  </si>
  <si>
    <t>درد</t>
  </si>
  <si>
    <t>نشر عصر کتاب تهران 1384 چهارم</t>
  </si>
  <si>
    <t>بیماری گوارش</t>
  </si>
  <si>
    <t>964-5723-46-9</t>
  </si>
  <si>
    <t>آن مک گرگور</t>
  </si>
  <si>
    <t>نشر عصر کتاب تهران 1380 اول</t>
  </si>
  <si>
    <t>نشر عصر کتاب تهران 1382 چهارم</t>
  </si>
  <si>
    <t>نشر عصر کتاب تهران 1384 سوم</t>
  </si>
  <si>
    <t>نشر عصر کتاب تهران 1380 چهارم</t>
  </si>
  <si>
    <t>نشر عصر کتاب تهران13870 نهمم</t>
  </si>
  <si>
    <t>نشر عصر کتاب  تهران1382 اول</t>
  </si>
  <si>
    <t>یائسگی</t>
  </si>
  <si>
    <t>964-5723-71-X</t>
  </si>
  <si>
    <t xml:space="preserve">گارت ریس </t>
  </si>
  <si>
    <t>نشر عصر کتاب تهران 1386 سوم</t>
  </si>
  <si>
    <t xml:space="preserve">سرطان </t>
  </si>
  <si>
    <t>964-5723-82-5</t>
  </si>
  <si>
    <t>بیماری های چشم ، گوش ، بینی</t>
  </si>
  <si>
    <t>اساسات نرسنگ ( پرستاری )</t>
  </si>
  <si>
    <t>نیاز احمد شریف زی</t>
  </si>
  <si>
    <t>کلیات الکترو فیزیولوژی قلب</t>
  </si>
  <si>
    <t>منصور مقدم</t>
  </si>
  <si>
    <t>تصویربرداری قلب</t>
  </si>
  <si>
    <t>964-423-429-4</t>
  </si>
  <si>
    <t xml:space="preserve">نرسنگ عملیاتخانه </t>
  </si>
  <si>
    <t>اصول طب داخلی هاریسون 2008 بیماریهای دستگاه تنفس</t>
  </si>
  <si>
    <t>مریم رحمتیان</t>
  </si>
  <si>
    <t>تنفس</t>
  </si>
  <si>
    <t>978-964-527-044-3</t>
  </si>
  <si>
    <t>بیماریها</t>
  </si>
  <si>
    <t>964-5855-22-5</t>
  </si>
  <si>
    <t>سردرد بزبان ساده</t>
  </si>
  <si>
    <t>احمد محمودآبلادی</t>
  </si>
  <si>
    <t>964-2736-5-5</t>
  </si>
  <si>
    <t>ویتامینها</t>
  </si>
  <si>
    <t>ویروسیابی</t>
  </si>
  <si>
    <t>ویروسها</t>
  </si>
  <si>
    <t>بیوشیمی</t>
  </si>
  <si>
    <t>طب سنتی</t>
  </si>
  <si>
    <t>طب قدیم</t>
  </si>
  <si>
    <t>عصب شناسی</t>
  </si>
  <si>
    <t>رادیواکتیو</t>
  </si>
  <si>
    <t>طب عدلی</t>
  </si>
  <si>
    <t>دانشمندان طب</t>
  </si>
  <si>
    <t>انواع طبابت</t>
  </si>
  <si>
    <t>طب چینی</t>
  </si>
  <si>
    <t xml:space="preserve">طبیبان </t>
  </si>
  <si>
    <t>فخر رازی</t>
  </si>
  <si>
    <t>طب اسلامی</t>
  </si>
  <si>
    <t>کلیات طب</t>
  </si>
  <si>
    <t>دایره المعارف طبی</t>
  </si>
  <si>
    <t>طب ایرانی</t>
  </si>
  <si>
    <t>ریحانه معینی- نرجس</t>
  </si>
  <si>
    <t>کلیفورد دبلیو بیرز: حامی دیوانگان</t>
  </si>
  <si>
    <t>نورمن دین</t>
  </si>
  <si>
    <t>سرور بنی زمانی</t>
  </si>
  <si>
    <t>بیماران روانی</t>
  </si>
  <si>
    <t>۳۶۲/۲۰۹۲</t>
  </si>
  <si>
    <t>۹۶۴-۶۸۴۹-۵۸-x</t>
  </si>
  <si>
    <t>إ</t>
  </si>
  <si>
    <t>نرسینگ</t>
  </si>
  <si>
    <t>کاربرد بالینی روش آ بی آر و الکترو کوکلئوگرافی در شنوایی</t>
  </si>
  <si>
    <t>احمد دانشسی</t>
  </si>
  <si>
    <t>شنوایی سنجی</t>
  </si>
  <si>
    <t>هیپنوتیزم علمی نوین</t>
  </si>
  <si>
    <t>ریچارد شروت</t>
  </si>
  <si>
    <t>۱۵۴/۷</t>
  </si>
  <si>
    <t>۹۶۴-۴۲۳-۰۹۰-۶</t>
  </si>
  <si>
    <t>شماره</t>
  </si>
  <si>
    <t>ناشر</t>
  </si>
  <si>
    <t>محل نشر</t>
  </si>
  <si>
    <t>تاریخ نشر</t>
  </si>
  <si>
    <t>نوبت چاپ</t>
  </si>
  <si>
    <t>دنیای نو</t>
  </si>
  <si>
    <t>تهران</t>
  </si>
  <si>
    <t>کلمات کلیدی</t>
  </si>
  <si>
    <t>یادداشت</t>
  </si>
  <si>
    <t>تفصیلات</t>
  </si>
  <si>
    <t>تالار</t>
  </si>
  <si>
    <t>تاریخ دریافت</t>
  </si>
  <si>
    <t>مسوول تالار</t>
  </si>
  <si>
    <t>نشر راد</t>
  </si>
  <si>
    <t xml:space="preserve">نهم </t>
  </si>
  <si>
    <t>اندیشه نو</t>
  </si>
  <si>
    <t>رحیل نامدار مقدم</t>
  </si>
  <si>
    <t>فاضلی</t>
  </si>
  <si>
    <t>تکاپو</t>
  </si>
  <si>
    <t>کابل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</si>
</sst>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3000401]0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20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2"/>
      <name val="B Nazanin"/>
      <charset val="178"/>
    </font>
    <font>
      <b/>
      <sz val="12"/>
      <name val="B Nazanin"/>
      <charset val="178"/>
    </font>
    <font>
      <b/>
      <sz val="11"/>
      <name val="B Nazanin"/>
      <charset val="178"/>
    </font>
    <font>
      <sz val="11"/>
      <name val="B Nazanin"/>
      <charset val="178"/>
    </font>
    <font>
      <b/>
      <sz val="20"/>
      <name val="B Nazanin"/>
      <charset val="178"/>
    </font>
    <font>
      <sz val="8"/>
      <name val="B Nazanin"/>
      <charset val="178"/>
    </font>
    <font>
      <sz val="14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7" fillId="2" borderId="1" xfId="0" applyFont="1" applyFill="1" applyBorder="1" applyAlignment="1">
      <alignment horizontal="center" vertical="center" wrapText="1" readingOrder="2"/>
    </xf>
    <xf numFmtId="0" fontId="7" fillId="2" borderId="1" xfId="0" applyFont="1" applyFill="1" applyBorder="1" applyAlignment="1">
      <alignment horizontal="right" vertical="center" readingOrder="2"/>
    </xf>
    <xf numFmtId="0" fontId="7" fillId="2" borderId="1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 vertical="center" indent="1"/>
    </xf>
    <xf numFmtId="0" fontId="7" fillId="2" borderId="1" xfId="0" applyFont="1" applyFill="1" applyBorder="1" applyAlignment="1">
      <alignment horizontal="center" vertical="center" textRotation="90" wrapText="1" readingOrder="2"/>
    </xf>
    <xf numFmtId="0" fontId="9" fillId="2" borderId="1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readingOrder="2"/>
    </xf>
    <xf numFmtId="0" fontId="7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 wrapText="1" readingOrder="2"/>
    </xf>
    <xf numFmtId="0" fontId="12" fillId="2" borderId="1" xfId="0" applyFont="1" applyFill="1" applyBorder="1" applyAlignment="1">
      <alignment horizontal="right" vertical="center" readingOrder="2"/>
    </xf>
    <xf numFmtId="0" fontId="4" fillId="2" borderId="0" xfId="0" applyFont="1" applyFill="1" applyBorder="1" applyAlignment="1">
      <alignment horizontal="right" vertical="top" indent="1"/>
    </xf>
    <xf numFmtId="0" fontId="4" fillId="2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textRotation="90" wrapText="1" readingOrder="2"/>
    </xf>
    <xf numFmtId="0" fontId="7" fillId="3" borderId="1" xfId="0" applyFont="1" applyFill="1" applyBorder="1" applyAlignment="1">
      <alignment horizontal="center" vertical="center" wrapText="1" readingOrder="2"/>
    </xf>
    <xf numFmtId="164" fontId="7" fillId="3" borderId="1" xfId="0" applyNumberFormat="1" applyFont="1" applyFill="1" applyBorder="1" applyAlignment="1">
      <alignment horizontal="center" vertical="center" wrapText="1" readingOrder="2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right" vertical="center" readingOrder="2"/>
    </xf>
    <xf numFmtId="0" fontId="10" fillId="2" borderId="1" xfId="0" applyFont="1" applyFill="1" applyBorder="1" applyAlignment="1">
      <alignment horizontal="right" vertical="center" readingOrder="2"/>
    </xf>
    <xf numFmtId="0" fontId="13" fillId="2" borderId="1" xfId="0" applyFont="1" applyFill="1" applyBorder="1" applyAlignment="1">
      <alignment horizontal="right" vertical="center" readingOrder="2"/>
    </xf>
    <xf numFmtId="164" fontId="7" fillId="2" borderId="1" xfId="0" applyNumberFormat="1" applyFont="1" applyFill="1" applyBorder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AK1453"/>
  <sheetViews>
    <sheetView showGridLines="0" rightToLeft="1" tabSelected="1" topLeftCell="C1" zoomScale="70" zoomScaleNormal="70" workbookViewId="0">
      <pane ySplit="1" topLeftCell="A304" activePane="bottomLeft" state="frozen"/>
      <selection pane="bottomLeft" activeCell="C307" sqref="C307"/>
    </sheetView>
  </sheetViews>
  <sheetFormatPr defaultColWidth="9" defaultRowHeight="18.75"/>
  <cols>
    <col min="1" max="1" width="9" style="8"/>
    <col min="2" max="2" width="43.375" style="15" customWidth="1"/>
    <col min="3" max="3" width="16.625" style="4" customWidth="1"/>
    <col min="4" max="4" width="17.125" style="4" customWidth="1"/>
    <col min="5" max="7" width="13.375" style="4" customWidth="1"/>
    <col min="8" max="8" width="9.875" style="4" customWidth="1"/>
    <col min="9" max="9" width="6.375" style="16" customWidth="1"/>
    <col min="10" max="10" width="8.125" style="4" customWidth="1"/>
    <col min="11" max="11" width="13.375" style="4" customWidth="1"/>
    <col min="12" max="12" width="12.25" style="4" customWidth="1"/>
    <col min="13" max="14" width="7.375" style="4" customWidth="1"/>
    <col min="15" max="17" width="7.25" style="4" customWidth="1"/>
    <col min="18" max="18" width="6.125" style="8" customWidth="1"/>
    <col min="19" max="20" width="6.875" style="8" customWidth="1"/>
    <col min="21" max="21" width="4.875" style="8" customWidth="1"/>
    <col min="22" max="22" width="6.125" style="8" customWidth="1"/>
    <col min="23" max="23" width="8.625" style="8" customWidth="1"/>
    <col min="25" max="25" width="7.625" style="4" customWidth="1"/>
    <col min="27" max="27" width="8.375" style="7" customWidth="1"/>
    <col min="28" max="28" width="18.75" style="7" customWidth="1"/>
    <col min="29" max="37" width="11.125" style="7" customWidth="1"/>
    <col min="38" max="16384" width="9" style="8"/>
  </cols>
  <sheetData>
    <row r="1" spans="1:28" ht="67.5" customHeight="1">
      <c r="A1" s="18" t="s">
        <v>934</v>
      </c>
      <c r="B1" s="18" t="s">
        <v>2</v>
      </c>
      <c r="C1" s="18" t="s">
        <v>1</v>
      </c>
      <c r="D1" s="18" t="s">
        <v>356</v>
      </c>
      <c r="E1" s="18" t="s">
        <v>935</v>
      </c>
      <c r="F1" s="18" t="s">
        <v>936</v>
      </c>
      <c r="G1" s="18" t="s">
        <v>937</v>
      </c>
      <c r="H1" s="18" t="s">
        <v>938</v>
      </c>
      <c r="I1" s="18" t="s">
        <v>341</v>
      </c>
      <c r="J1" s="18" t="s">
        <v>342</v>
      </c>
      <c r="K1" s="18" t="s">
        <v>343</v>
      </c>
      <c r="L1" s="18" t="s">
        <v>344</v>
      </c>
      <c r="M1" s="18" t="s">
        <v>345</v>
      </c>
      <c r="N1" s="18" t="s">
        <v>941</v>
      </c>
      <c r="O1" s="18" t="s">
        <v>346</v>
      </c>
      <c r="P1" s="18" t="s">
        <v>942</v>
      </c>
      <c r="Q1" s="18" t="s">
        <v>943</v>
      </c>
      <c r="R1" s="18" t="s">
        <v>372</v>
      </c>
      <c r="S1" s="18" t="s">
        <v>0</v>
      </c>
      <c r="T1" s="5" t="s">
        <v>944</v>
      </c>
      <c r="U1" s="18" t="s">
        <v>348</v>
      </c>
      <c r="V1" s="17" t="s">
        <v>349</v>
      </c>
      <c r="W1" s="18" t="s">
        <v>363</v>
      </c>
      <c r="X1" s="18" t="s">
        <v>945</v>
      </c>
      <c r="Y1" s="18" t="s">
        <v>347</v>
      </c>
      <c r="Z1" s="18" t="s">
        <v>946</v>
      </c>
      <c r="AA1" s="21" t="s">
        <v>350</v>
      </c>
      <c r="AB1" s="18" t="s">
        <v>351</v>
      </c>
    </row>
    <row r="2" spans="1:28" s="12" customFormat="1" ht="29.25" customHeight="1">
      <c r="A2" s="26"/>
      <c r="B2" s="2" t="s">
        <v>235</v>
      </c>
      <c r="C2" s="2" t="s">
        <v>11</v>
      </c>
      <c r="D2" s="2"/>
      <c r="E2" s="2" t="s">
        <v>939</v>
      </c>
      <c r="F2" s="2" t="s">
        <v>940</v>
      </c>
      <c r="G2" s="25">
        <v>1376</v>
      </c>
      <c r="H2" s="2" t="s">
        <v>204</v>
      </c>
      <c r="I2" s="9" t="s">
        <v>303</v>
      </c>
      <c r="J2" s="2">
        <v>100</v>
      </c>
      <c r="K2" s="2" t="s">
        <v>900</v>
      </c>
      <c r="L2" s="2"/>
      <c r="M2" s="22" t="s">
        <v>353</v>
      </c>
      <c r="N2" s="22"/>
      <c r="O2" s="2">
        <v>30</v>
      </c>
      <c r="P2" s="2"/>
      <c r="Q2" s="2"/>
      <c r="R2" s="1">
        <v>1</v>
      </c>
      <c r="S2" s="1">
        <v>1</v>
      </c>
      <c r="T2" s="1"/>
      <c r="U2" s="18" t="s">
        <v>13</v>
      </c>
      <c r="V2" s="19">
        <v>1</v>
      </c>
      <c r="W2" s="1" t="s">
        <v>364</v>
      </c>
      <c r="X2" s="26"/>
      <c r="Y2" s="22">
        <f t="shared" ref="Y2:Y33" si="0">O2*R2</f>
        <v>30</v>
      </c>
      <c r="Z2" s="26"/>
      <c r="AA2" s="20" t="s">
        <v>354</v>
      </c>
      <c r="AB2" s="11"/>
    </row>
    <row r="3" spans="1:28" s="12" customFormat="1" ht="29.25" customHeight="1">
      <c r="A3" s="26"/>
      <c r="B3" s="2" t="s">
        <v>101</v>
      </c>
      <c r="C3" s="2" t="s">
        <v>100</v>
      </c>
      <c r="D3" s="2"/>
      <c r="E3" s="2"/>
      <c r="F3" s="2"/>
      <c r="G3" s="2"/>
      <c r="H3" s="2" t="s">
        <v>201</v>
      </c>
      <c r="I3" s="9" t="s">
        <v>303</v>
      </c>
      <c r="J3" s="2">
        <v>296</v>
      </c>
      <c r="K3" s="2" t="s">
        <v>901</v>
      </c>
      <c r="L3" s="2"/>
      <c r="M3" s="22" t="s">
        <v>353</v>
      </c>
      <c r="N3" s="22"/>
      <c r="O3" s="2">
        <v>80</v>
      </c>
      <c r="P3" s="2"/>
      <c r="Q3" s="2"/>
      <c r="R3" s="1">
        <v>1</v>
      </c>
      <c r="S3" s="1">
        <v>1</v>
      </c>
      <c r="T3" s="1"/>
      <c r="U3" s="18" t="s">
        <v>13</v>
      </c>
      <c r="V3" s="19">
        <v>1</v>
      </c>
      <c r="W3" s="10" t="s">
        <v>364</v>
      </c>
      <c r="X3" s="26"/>
      <c r="Y3" s="22">
        <f t="shared" si="0"/>
        <v>80</v>
      </c>
      <c r="Z3" s="26"/>
      <c r="AA3" s="20" t="s">
        <v>354</v>
      </c>
      <c r="AB3" s="11"/>
    </row>
    <row r="4" spans="1:28" s="12" customFormat="1" ht="29.25" customHeight="1">
      <c r="A4" s="26"/>
      <c r="B4" s="2" t="s">
        <v>109</v>
      </c>
      <c r="C4" s="2" t="s">
        <v>108</v>
      </c>
      <c r="D4" s="2"/>
      <c r="E4" s="2" t="s">
        <v>947</v>
      </c>
      <c r="F4" s="2" t="s">
        <v>940</v>
      </c>
      <c r="G4" s="25">
        <v>1334</v>
      </c>
      <c r="H4" s="2" t="s">
        <v>200</v>
      </c>
      <c r="I4" s="9" t="s">
        <v>303</v>
      </c>
      <c r="J4" s="2">
        <v>300</v>
      </c>
      <c r="K4" s="2" t="s">
        <v>902</v>
      </c>
      <c r="L4" s="2"/>
      <c r="M4" s="22" t="s">
        <v>353</v>
      </c>
      <c r="N4" s="22"/>
      <c r="O4" s="2">
        <v>70</v>
      </c>
      <c r="P4" s="2"/>
      <c r="Q4" s="2"/>
      <c r="R4" s="1">
        <v>1</v>
      </c>
      <c r="S4" s="1">
        <v>1</v>
      </c>
      <c r="T4" s="1"/>
      <c r="U4" s="18" t="s">
        <v>13</v>
      </c>
      <c r="V4" s="19">
        <v>1</v>
      </c>
      <c r="W4" s="1" t="s">
        <v>364</v>
      </c>
      <c r="X4" s="26"/>
      <c r="Y4" s="22">
        <f t="shared" si="0"/>
        <v>70</v>
      </c>
      <c r="Z4" s="26"/>
      <c r="AA4" s="20" t="s">
        <v>354</v>
      </c>
      <c r="AB4" s="11"/>
    </row>
    <row r="5" spans="1:28" s="12" customFormat="1" ht="29.25" customHeight="1">
      <c r="A5" s="26"/>
      <c r="B5" s="2" t="s">
        <v>394</v>
      </c>
      <c r="C5" s="2" t="s">
        <v>243</v>
      </c>
      <c r="D5" s="2" t="s">
        <v>361</v>
      </c>
      <c r="E5" s="2"/>
      <c r="F5" s="2"/>
      <c r="G5" s="2"/>
      <c r="H5" s="2" t="s">
        <v>202</v>
      </c>
      <c r="I5" s="9" t="s">
        <v>303</v>
      </c>
      <c r="J5" s="2">
        <v>173</v>
      </c>
      <c r="K5" s="2" t="s">
        <v>362</v>
      </c>
      <c r="L5" s="2"/>
      <c r="M5" s="22" t="s">
        <v>353</v>
      </c>
      <c r="N5" s="22"/>
      <c r="O5" s="2">
        <v>80</v>
      </c>
      <c r="P5" s="2"/>
      <c r="Q5" s="2"/>
      <c r="R5" s="1">
        <v>1</v>
      </c>
      <c r="S5" s="1">
        <v>1</v>
      </c>
      <c r="T5" s="1"/>
      <c r="U5" s="18" t="s">
        <v>13</v>
      </c>
      <c r="V5" s="19">
        <v>1</v>
      </c>
      <c r="W5" s="1" t="s">
        <v>364</v>
      </c>
      <c r="X5" s="26"/>
      <c r="Y5" s="22">
        <f t="shared" si="0"/>
        <v>80</v>
      </c>
      <c r="Z5" s="26"/>
      <c r="AA5" s="20" t="s">
        <v>354</v>
      </c>
      <c r="AB5" s="11"/>
    </row>
    <row r="6" spans="1:28" s="12" customFormat="1" ht="29.25" customHeight="1">
      <c r="A6" s="26"/>
      <c r="B6" s="2" t="s">
        <v>395</v>
      </c>
      <c r="C6" s="2" t="s">
        <v>377</v>
      </c>
      <c r="D6" s="2"/>
      <c r="E6" s="2"/>
      <c r="F6" s="2"/>
      <c r="G6" s="2"/>
      <c r="H6" s="2" t="s">
        <v>205</v>
      </c>
      <c r="I6" s="9" t="s">
        <v>303</v>
      </c>
      <c r="J6" s="2">
        <v>459</v>
      </c>
      <c r="K6" s="2" t="s">
        <v>378</v>
      </c>
      <c r="L6" s="2">
        <v>572.79999999999995</v>
      </c>
      <c r="M6" s="22" t="s">
        <v>353</v>
      </c>
      <c r="N6" s="22"/>
      <c r="O6" s="2">
        <v>235</v>
      </c>
      <c r="P6" s="2"/>
      <c r="Q6" s="2"/>
      <c r="R6" s="1">
        <v>1</v>
      </c>
      <c r="S6" s="1">
        <v>1</v>
      </c>
      <c r="T6" s="1"/>
      <c r="U6" s="18" t="s">
        <v>13</v>
      </c>
      <c r="V6" s="19">
        <v>1</v>
      </c>
      <c r="W6" s="1" t="s">
        <v>364</v>
      </c>
      <c r="X6" s="26"/>
      <c r="Y6" s="22">
        <f t="shared" si="0"/>
        <v>235</v>
      </c>
      <c r="Z6" s="26"/>
      <c r="AA6" s="20" t="s">
        <v>354</v>
      </c>
      <c r="AB6" s="11" t="s">
        <v>379</v>
      </c>
    </row>
    <row r="7" spans="1:28" s="12" customFormat="1" ht="29.25" customHeight="1">
      <c r="A7" s="26"/>
      <c r="B7" s="2" t="s">
        <v>396</v>
      </c>
      <c r="C7" s="2" t="s">
        <v>315</v>
      </c>
      <c r="D7" s="2" t="s">
        <v>371</v>
      </c>
      <c r="E7" s="2"/>
      <c r="F7" s="2"/>
      <c r="G7" s="2"/>
      <c r="H7" s="2" t="s">
        <v>948</v>
      </c>
      <c r="I7" s="9" t="s">
        <v>359</v>
      </c>
      <c r="J7" s="2">
        <v>1386</v>
      </c>
      <c r="K7" s="2" t="s">
        <v>367</v>
      </c>
      <c r="L7" s="2"/>
      <c r="M7" s="22" t="s">
        <v>353</v>
      </c>
      <c r="N7" s="22"/>
      <c r="O7" s="2">
        <v>650</v>
      </c>
      <c r="P7" s="2"/>
      <c r="Q7" s="2"/>
      <c r="R7" s="13">
        <v>1</v>
      </c>
      <c r="S7" s="13">
        <v>1</v>
      </c>
      <c r="T7" s="13"/>
      <c r="U7" s="18" t="s">
        <v>13</v>
      </c>
      <c r="V7" s="19">
        <v>1</v>
      </c>
      <c r="W7" s="13" t="s">
        <v>364</v>
      </c>
      <c r="X7" s="26"/>
      <c r="Y7" s="22">
        <f t="shared" si="0"/>
        <v>650</v>
      </c>
      <c r="Z7" s="26"/>
      <c r="AA7" s="20" t="s">
        <v>354</v>
      </c>
      <c r="AB7" s="11"/>
    </row>
    <row r="8" spans="1:28" s="12" customFormat="1" ht="29.25" customHeight="1">
      <c r="A8" s="26"/>
      <c r="B8" s="2" t="s">
        <v>314</v>
      </c>
      <c r="C8" s="2" t="s">
        <v>315</v>
      </c>
      <c r="D8" s="2" t="s">
        <v>369</v>
      </c>
      <c r="E8" s="2"/>
      <c r="F8" s="2"/>
      <c r="G8" s="2"/>
      <c r="H8" s="2" t="s">
        <v>200</v>
      </c>
      <c r="I8" s="9" t="s">
        <v>359</v>
      </c>
      <c r="J8" s="2">
        <v>1230</v>
      </c>
      <c r="K8" s="2" t="s">
        <v>367</v>
      </c>
      <c r="L8" s="2">
        <v>612</v>
      </c>
      <c r="M8" s="22" t="s">
        <v>353</v>
      </c>
      <c r="N8" s="22"/>
      <c r="O8" s="2">
        <v>620</v>
      </c>
      <c r="P8" s="2"/>
      <c r="Q8" s="2"/>
      <c r="R8" s="13">
        <v>1</v>
      </c>
      <c r="S8" s="13">
        <v>1</v>
      </c>
      <c r="T8" s="13"/>
      <c r="U8" s="18" t="s">
        <v>13</v>
      </c>
      <c r="V8" s="19">
        <v>1</v>
      </c>
      <c r="W8" s="13" t="s">
        <v>364</v>
      </c>
      <c r="X8" s="26"/>
      <c r="Y8" s="22">
        <f t="shared" si="0"/>
        <v>620</v>
      </c>
      <c r="Z8" s="26"/>
      <c r="AA8" s="20" t="s">
        <v>354</v>
      </c>
      <c r="AB8" s="11" t="s">
        <v>370</v>
      </c>
    </row>
    <row r="9" spans="1:28" s="12" customFormat="1" ht="29.25" customHeight="1">
      <c r="A9" s="26"/>
      <c r="B9" s="2" t="s">
        <v>397</v>
      </c>
      <c r="C9" s="2" t="s">
        <v>7</v>
      </c>
      <c r="D9" s="2"/>
      <c r="E9" s="2"/>
      <c r="F9" s="2"/>
      <c r="G9" s="2"/>
      <c r="H9" s="2" t="s">
        <v>203</v>
      </c>
      <c r="I9" s="9" t="s">
        <v>303</v>
      </c>
      <c r="J9" s="2">
        <v>157</v>
      </c>
      <c r="K9" s="2" t="s">
        <v>367</v>
      </c>
      <c r="L9" s="2" t="s">
        <v>366</v>
      </c>
      <c r="M9" s="22" t="s">
        <v>353</v>
      </c>
      <c r="N9" s="22"/>
      <c r="O9" s="2">
        <v>85</v>
      </c>
      <c r="P9" s="2"/>
      <c r="Q9" s="2"/>
      <c r="R9" s="1">
        <v>1</v>
      </c>
      <c r="S9" s="1">
        <v>1</v>
      </c>
      <c r="T9" s="1"/>
      <c r="U9" s="18" t="s">
        <v>13</v>
      </c>
      <c r="V9" s="19">
        <v>1</v>
      </c>
      <c r="W9" s="1" t="s">
        <v>364</v>
      </c>
      <c r="X9" s="26"/>
      <c r="Y9" s="22">
        <f t="shared" si="0"/>
        <v>85</v>
      </c>
      <c r="Z9" s="26"/>
      <c r="AA9" s="20" t="s">
        <v>354</v>
      </c>
      <c r="AB9" s="6"/>
    </row>
    <row r="10" spans="1:28" s="12" customFormat="1" ht="29.25" customHeight="1">
      <c r="A10" s="26"/>
      <c r="B10" s="2" t="s">
        <v>398</v>
      </c>
      <c r="C10" s="2" t="s">
        <v>7</v>
      </c>
      <c r="D10" s="2"/>
      <c r="E10" s="2"/>
      <c r="F10" s="2"/>
      <c r="G10" s="2"/>
      <c r="H10" s="2" t="s">
        <v>200</v>
      </c>
      <c r="I10" s="9" t="s">
        <v>303</v>
      </c>
      <c r="J10" s="2">
        <v>173</v>
      </c>
      <c r="K10" s="2" t="s">
        <v>367</v>
      </c>
      <c r="L10" s="2" t="s">
        <v>368</v>
      </c>
      <c r="M10" s="22" t="s">
        <v>353</v>
      </c>
      <c r="N10" s="22"/>
      <c r="O10" s="2">
        <v>90</v>
      </c>
      <c r="P10" s="2"/>
      <c r="Q10" s="2"/>
      <c r="R10" s="1">
        <v>1</v>
      </c>
      <c r="S10" s="1">
        <v>1</v>
      </c>
      <c r="T10" s="1"/>
      <c r="U10" s="18" t="s">
        <v>13</v>
      </c>
      <c r="V10" s="19">
        <v>1</v>
      </c>
      <c r="W10" s="1" t="s">
        <v>364</v>
      </c>
      <c r="X10" s="26"/>
      <c r="Y10" s="22">
        <f t="shared" si="0"/>
        <v>90</v>
      </c>
      <c r="Z10" s="26"/>
      <c r="AA10" s="20" t="s">
        <v>354</v>
      </c>
      <c r="AB10" s="6"/>
    </row>
    <row r="11" spans="1:28" s="12" customFormat="1" ht="29.25" customHeight="1">
      <c r="A11" s="26"/>
      <c r="B11" s="2" t="s">
        <v>399</v>
      </c>
      <c r="C11" s="2" t="s">
        <v>355</v>
      </c>
      <c r="D11" s="2"/>
      <c r="E11" s="2"/>
      <c r="F11" s="2"/>
      <c r="G11" s="2"/>
      <c r="H11" s="2" t="s">
        <v>200</v>
      </c>
      <c r="I11" s="9" t="s">
        <v>303</v>
      </c>
      <c r="J11" s="2">
        <v>400</v>
      </c>
      <c r="K11" s="2" t="s">
        <v>367</v>
      </c>
      <c r="L11" s="2"/>
      <c r="M11" s="22" t="s">
        <v>353</v>
      </c>
      <c r="N11" s="22"/>
      <c r="O11" s="2">
        <v>110</v>
      </c>
      <c r="P11" s="2"/>
      <c r="Q11" s="2"/>
      <c r="R11" s="1">
        <v>1</v>
      </c>
      <c r="S11" s="1">
        <v>1</v>
      </c>
      <c r="T11" s="1"/>
      <c r="U11" s="18" t="s">
        <v>13</v>
      </c>
      <c r="V11" s="19">
        <v>1</v>
      </c>
      <c r="W11" s="1" t="s">
        <v>364</v>
      </c>
      <c r="X11" s="26"/>
      <c r="Y11" s="22">
        <f t="shared" si="0"/>
        <v>110</v>
      </c>
      <c r="Z11" s="26"/>
      <c r="AA11" s="20" t="s">
        <v>354</v>
      </c>
      <c r="AB11" s="6"/>
    </row>
    <row r="12" spans="1:28" s="12" customFormat="1" ht="29.25" customHeight="1">
      <c r="A12" s="26"/>
      <c r="B12" s="2" t="s">
        <v>244</v>
      </c>
      <c r="C12" s="2" t="s">
        <v>112</v>
      </c>
      <c r="D12" s="2"/>
      <c r="E12" s="2"/>
      <c r="F12" s="2"/>
      <c r="G12" s="2"/>
      <c r="H12" s="2" t="s">
        <v>200</v>
      </c>
      <c r="I12" s="9" t="s">
        <v>303</v>
      </c>
      <c r="J12" s="2">
        <v>164</v>
      </c>
      <c r="K12" s="2" t="s">
        <v>367</v>
      </c>
      <c r="L12" s="2"/>
      <c r="M12" s="22" t="s">
        <v>353</v>
      </c>
      <c r="N12" s="22"/>
      <c r="O12" s="2">
        <v>80</v>
      </c>
      <c r="P12" s="2"/>
      <c r="Q12" s="2"/>
      <c r="R12" s="1">
        <v>1</v>
      </c>
      <c r="S12" s="1">
        <v>1</v>
      </c>
      <c r="T12" s="1"/>
      <c r="U12" s="18" t="s">
        <v>13</v>
      </c>
      <c r="V12" s="19">
        <v>1</v>
      </c>
      <c r="W12" s="1" t="s">
        <v>364</v>
      </c>
      <c r="X12" s="26"/>
      <c r="Y12" s="22">
        <f t="shared" si="0"/>
        <v>80</v>
      </c>
      <c r="Z12" s="26"/>
      <c r="AA12" s="20" t="s">
        <v>354</v>
      </c>
      <c r="AB12" s="6"/>
    </row>
    <row r="13" spans="1:28" s="12" customFormat="1" ht="29.25" customHeight="1">
      <c r="A13" s="26"/>
      <c r="B13" s="2" t="s">
        <v>400</v>
      </c>
      <c r="C13" s="2" t="s">
        <v>120</v>
      </c>
      <c r="D13" s="2"/>
      <c r="E13" s="2"/>
      <c r="F13" s="2"/>
      <c r="G13" s="2"/>
      <c r="H13" s="2" t="s">
        <v>200</v>
      </c>
      <c r="I13" s="9" t="s">
        <v>303</v>
      </c>
      <c r="J13" s="2">
        <v>530</v>
      </c>
      <c r="K13" s="2" t="s">
        <v>367</v>
      </c>
      <c r="L13" s="2">
        <v>34.5</v>
      </c>
      <c r="M13" s="22" t="s">
        <v>353</v>
      </c>
      <c r="N13" s="22"/>
      <c r="O13" s="2">
        <v>260</v>
      </c>
      <c r="P13" s="2"/>
      <c r="Q13" s="2"/>
      <c r="R13" s="1">
        <v>1</v>
      </c>
      <c r="S13" s="1">
        <v>1</v>
      </c>
      <c r="T13" s="1"/>
      <c r="U13" s="18" t="s">
        <v>13</v>
      </c>
      <c r="V13" s="19">
        <v>1</v>
      </c>
      <c r="W13" s="1" t="s">
        <v>365</v>
      </c>
      <c r="X13" s="26"/>
      <c r="Y13" s="22">
        <f t="shared" si="0"/>
        <v>260</v>
      </c>
      <c r="Z13" s="26"/>
      <c r="AA13" s="20" t="s">
        <v>354</v>
      </c>
      <c r="AB13" s="6"/>
    </row>
    <row r="14" spans="1:28" s="12" customFormat="1" ht="29.25" customHeight="1">
      <c r="A14" s="26"/>
      <c r="B14" s="2" t="s">
        <v>401</v>
      </c>
      <c r="C14" s="2" t="s">
        <v>245</v>
      </c>
      <c r="D14" s="2" t="s">
        <v>358</v>
      </c>
      <c r="E14" s="2"/>
      <c r="F14" s="2"/>
      <c r="G14" s="2"/>
      <c r="H14" s="2" t="s">
        <v>200</v>
      </c>
      <c r="I14" s="9" t="s">
        <v>359</v>
      </c>
      <c r="J14" s="2">
        <v>1376</v>
      </c>
      <c r="K14" s="2" t="s">
        <v>367</v>
      </c>
      <c r="L14" s="2"/>
      <c r="M14" s="22" t="s">
        <v>353</v>
      </c>
      <c r="N14" s="22"/>
      <c r="O14" s="2">
        <v>650</v>
      </c>
      <c r="P14" s="2"/>
      <c r="Q14" s="2"/>
      <c r="R14" s="13">
        <v>1</v>
      </c>
      <c r="S14" s="13">
        <v>1</v>
      </c>
      <c r="T14" s="13"/>
      <c r="U14" s="18" t="s">
        <v>13</v>
      </c>
      <c r="V14" s="19">
        <v>1</v>
      </c>
      <c r="W14" s="13" t="s">
        <v>365</v>
      </c>
      <c r="X14" s="26"/>
      <c r="Y14" s="22">
        <f t="shared" si="0"/>
        <v>650</v>
      </c>
      <c r="Z14" s="26"/>
      <c r="AA14" s="20" t="s">
        <v>354</v>
      </c>
      <c r="AB14" s="6"/>
    </row>
    <row r="15" spans="1:28" s="12" customFormat="1" ht="29.25" customHeight="1">
      <c r="A15" s="26"/>
      <c r="B15" s="2" t="s">
        <v>91</v>
      </c>
      <c r="C15" s="2" t="s">
        <v>90</v>
      </c>
      <c r="D15" s="2"/>
      <c r="E15" s="2"/>
      <c r="F15" s="2"/>
      <c r="G15" s="2"/>
      <c r="H15" s="2" t="s">
        <v>200</v>
      </c>
      <c r="I15" s="9" t="s">
        <v>303</v>
      </c>
      <c r="J15" s="2">
        <v>274</v>
      </c>
      <c r="K15" s="2" t="s">
        <v>367</v>
      </c>
      <c r="L15" s="2"/>
      <c r="M15" s="22" t="s">
        <v>353</v>
      </c>
      <c r="N15" s="22"/>
      <c r="O15" s="2">
        <v>70</v>
      </c>
      <c r="P15" s="2"/>
      <c r="Q15" s="2"/>
      <c r="R15" s="1">
        <v>1</v>
      </c>
      <c r="S15" s="1">
        <v>1</v>
      </c>
      <c r="T15" s="1"/>
      <c r="U15" s="18"/>
      <c r="V15" s="19">
        <v>1</v>
      </c>
      <c r="W15" s="1" t="s">
        <v>364</v>
      </c>
      <c r="X15" s="26"/>
      <c r="Y15" s="22">
        <f t="shared" si="0"/>
        <v>70</v>
      </c>
      <c r="Z15" s="26"/>
      <c r="AA15" s="20" t="s">
        <v>354</v>
      </c>
      <c r="AB15" s="6"/>
    </row>
    <row r="16" spans="1:28" s="12" customFormat="1" ht="29.25" customHeight="1">
      <c r="A16" s="26"/>
      <c r="B16" s="2" t="s">
        <v>167</v>
      </c>
      <c r="C16" s="2" t="s">
        <v>206</v>
      </c>
      <c r="D16" s="2"/>
      <c r="E16" s="2"/>
      <c r="F16" s="2"/>
      <c r="G16" s="2"/>
      <c r="H16" s="2"/>
      <c r="I16" s="9" t="s">
        <v>303</v>
      </c>
      <c r="J16" s="2">
        <v>296</v>
      </c>
      <c r="K16" s="2" t="s">
        <v>367</v>
      </c>
      <c r="L16" s="2"/>
      <c r="M16" s="22" t="s">
        <v>353</v>
      </c>
      <c r="N16" s="22"/>
      <c r="O16" s="2">
        <v>70</v>
      </c>
      <c r="P16" s="2"/>
      <c r="Q16" s="2"/>
      <c r="R16" s="1">
        <v>1</v>
      </c>
      <c r="S16" s="1">
        <v>1</v>
      </c>
      <c r="T16" s="1"/>
      <c r="U16" s="18" t="s">
        <v>13</v>
      </c>
      <c r="V16" s="19">
        <v>1</v>
      </c>
      <c r="W16" s="1" t="s">
        <v>364</v>
      </c>
      <c r="X16" s="26"/>
      <c r="Y16" s="22">
        <f t="shared" si="0"/>
        <v>70</v>
      </c>
      <c r="Z16" s="26"/>
      <c r="AA16" s="20" t="s">
        <v>354</v>
      </c>
      <c r="AB16" s="6"/>
    </row>
    <row r="17" spans="1:28" s="12" customFormat="1" ht="29.25" customHeight="1">
      <c r="A17" s="26"/>
      <c r="B17" s="2" t="s">
        <v>402</v>
      </c>
      <c r="C17" s="2" t="s">
        <v>373</v>
      </c>
      <c r="D17" s="2" t="s">
        <v>374</v>
      </c>
      <c r="E17" s="2"/>
      <c r="F17" s="2"/>
      <c r="G17" s="2"/>
      <c r="H17" s="10" t="s">
        <v>200</v>
      </c>
      <c r="I17" s="9" t="s">
        <v>303</v>
      </c>
      <c r="J17" s="2">
        <v>168</v>
      </c>
      <c r="K17" s="2" t="s">
        <v>375</v>
      </c>
      <c r="L17" s="2">
        <v>599.93499999999995</v>
      </c>
      <c r="M17" s="22" t="s">
        <v>353</v>
      </c>
      <c r="N17" s="22"/>
      <c r="O17" s="2">
        <v>85</v>
      </c>
      <c r="P17" s="2"/>
      <c r="Q17" s="2"/>
      <c r="R17" s="1">
        <v>1</v>
      </c>
      <c r="S17" s="1">
        <v>1</v>
      </c>
      <c r="T17" s="1"/>
      <c r="U17" s="18" t="s">
        <v>13</v>
      </c>
      <c r="V17" s="19">
        <v>1</v>
      </c>
      <c r="W17" s="1" t="s">
        <v>364</v>
      </c>
      <c r="X17" s="26"/>
      <c r="Y17" s="22">
        <f t="shared" si="0"/>
        <v>85</v>
      </c>
      <c r="Z17" s="26"/>
      <c r="AA17" s="20" t="s">
        <v>354</v>
      </c>
      <c r="AB17" s="6" t="s">
        <v>376</v>
      </c>
    </row>
    <row r="18" spans="1:28" s="12" customFormat="1" ht="29.25" customHeight="1">
      <c r="A18" s="26"/>
      <c r="B18" s="2" t="s">
        <v>403</v>
      </c>
      <c r="C18" s="2" t="s">
        <v>289</v>
      </c>
      <c r="D18" s="2"/>
      <c r="E18" s="2"/>
      <c r="F18" s="2"/>
      <c r="G18" s="2"/>
      <c r="H18" s="10" t="s">
        <v>200</v>
      </c>
      <c r="I18" s="9" t="s">
        <v>303</v>
      </c>
      <c r="J18" s="2">
        <v>118</v>
      </c>
      <c r="K18" s="2" t="s">
        <v>360</v>
      </c>
      <c r="L18" s="2"/>
      <c r="M18" s="22" t="s">
        <v>353</v>
      </c>
      <c r="N18" s="22"/>
      <c r="O18" s="2">
        <v>60</v>
      </c>
      <c r="P18" s="2"/>
      <c r="Q18" s="2"/>
      <c r="R18" s="1">
        <v>1</v>
      </c>
      <c r="S18" s="1">
        <v>1</v>
      </c>
      <c r="T18" s="1"/>
      <c r="U18" s="18" t="s">
        <v>13</v>
      </c>
      <c r="V18" s="19">
        <v>1</v>
      </c>
      <c r="W18" s="1" t="s">
        <v>364</v>
      </c>
      <c r="X18" s="26"/>
      <c r="Y18" s="22">
        <f t="shared" si="0"/>
        <v>60</v>
      </c>
      <c r="Z18" s="26"/>
      <c r="AA18" s="20" t="s">
        <v>354</v>
      </c>
      <c r="AB18" s="6"/>
    </row>
    <row r="19" spans="1:28" s="12" customFormat="1" ht="29.25" customHeight="1">
      <c r="A19" s="26"/>
      <c r="B19" s="2" t="s">
        <v>404</v>
      </c>
      <c r="C19" s="2" t="s">
        <v>121</v>
      </c>
      <c r="D19" s="2" t="s">
        <v>304</v>
      </c>
      <c r="E19" s="2"/>
      <c r="F19" s="2"/>
      <c r="G19" s="2"/>
      <c r="H19" s="10" t="s">
        <v>200</v>
      </c>
      <c r="I19" s="9" t="s">
        <v>303</v>
      </c>
      <c r="J19" s="2">
        <v>580</v>
      </c>
      <c r="K19" s="2" t="s">
        <v>357</v>
      </c>
      <c r="L19" s="2"/>
      <c r="M19" s="22" t="s">
        <v>353</v>
      </c>
      <c r="N19" s="22"/>
      <c r="O19" s="2">
        <v>300</v>
      </c>
      <c r="P19" s="2"/>
      <c r="Q19" s="2"/>
      <c r="R19" s="1">
        <v>4</v>
      </c>
      <c r="S19" s="1">
        <v>4</v>
      </c>
      <c r="T19" s="1"/>
      <c r="U19" s="18" t="s">
        <v>13</v>
      </c>
      <c r="V19" s="19">
        <v>1</v>
      </c>
      <c r="W19" s="1" t="s">
        <v>365</v>
      </c>
      <c r="X19" s="26"/>
      <c r="Y19" s="22">
        <f t="shared" si="0"/>
        <v>1200</v>
      </c>
      <c r="Z19" s="26"/>
      <c r="AA19" s="20" t="s">
        <v>354</v>
      </c>
      <c r="AB19" s="6"/>
    </row>
    <row r="20" spans="1:28" s="12" customFormat="1" ht="29.25" customHeight="1">
      <c r="A20" s="26"/>
      <c r="B20" s="2" t="s">
        <v>246</v>
      </c>
      <c r="C20" s="2" t="s">
        <v>247</v>
      </c>
      <c r="D20" s="2"/>
      <c r="E20" s="2"/>
      <c r="F20" s="2"/>
      <c r="G20" s="2"/>
      <c r="H20" s="10" t="s">
        <v>200</v>
      </c>
      <c r="I20" s="9" t="s">
        <v>303</v>
      </c>
      <c r="J20" s="2">
        <v>677</v>
      </c>
      <c r="K20" s="2" t="s">
        <v>357</v>
      </c>
      <c r="L20" s="2"/>
      <c r="M20" s="22" t="s">
        <v>353</v>
      </c>
      <c r="N20" s="22"/>
      <c r="O20" s="2">
        <v>340</v>
      </c>
      <c r="P20" s="2"/>
      <c r="Q20" s="2"/>
      <c r="R20" s="13">
        <v>1</v>
      </c>
      <c r="S20" s="13">
        <v>1</v>
      </c>
      <c r="T20" s="13"/>
      <c r="U20" s="18" t="s">
        <v>13</v>
      </c>
      <c r="V20" s="19">
        <v>1</v>
      </c>
      <c r="W20" s="13" t="s">
        <v>364</v>
      </c>
      <c r="X20" s="26"/>
      <c r="Y20" s="22">
        <f t="shared" si="0"/>
        <v>340</v>
      </c>
      <c r="Z20" s="26"/>
      <c r="AA20" s="20" t="s">
        <v>354</v>
      </c>
      <c r="AB20" s="6"/>
    </row>
    <row r="21" spans="1:28" s="12" customFormat="1" ht="29.25" customHeight="1">
      <c r="A21" s="26"/>
      <c r="B21" s="2" t="s">
        <v>140</v>
      </c>
      <c r="C21" s="2" t="s">
        <v>26</v>
      </c>
      <c r="D21" s="2"/>
      <c r="E21" s="2"/>
      <c r="F21" s="2"/>
      <c r="G21" s="2"/>
      <c r="H21" s="10" t="s">
        <v>200</v>
      </c>
      <c r="I21" s="9" t="s">
        <v>303</v>
      </c>
      <c r="J21" s="2">
        <v>333</v>
      </c>
      <c r="K21" s="2" t="s">
        <v>903</v>
      </c>
      <c r="L21" s="2"/>
      <c r="M21" s="22" t="s">
        <v>353</v>
      </c>
      <c r="N21" s="22"/>
      <c r="O21" s="2">
        <v>170</v>
      </c>
      <c r="P21" s="2"/>
      <c r="Q21" s="2"/>
      <c r="R21" s="1">
        <v>1</v>
      </c>
      <c r="S21" s="1">
        <v>1</v>
      </c>
      <c r="T21" s="1"/>
      <c r="U21" s="18" t="s">
        <v>13</v>
      </c>
      <c r="V21" s="19">
        <v>1</v>
      </c>
      <c r="W21" s="1" t="s">
        <v>364</v>
      </c>
      <c r="X21" s="26"/>
      <c r="Y21" s="22">
        <f t="shared" si="0"/>
        <v>170</v>
      </c>
      <c r="Z21" s="26"/>
      <c r="AA21" s="20" t="s">
        <v>354</v>
      </c>
      <c r="AB21" s="6"/>
    </row>
    <row r="22" spans="1:28" s="12" customFormat="1" ht="29.25" customHeight="1">
      <c r="A22" s="26"/>
      <c r="B22" s="2" t="s">
        <v>380</v>
      </c>
      <c r="C22" s="2" t="s">
        <v>381</v>
      </c>
      <c r="D22" s="2"/>
      <c r="E22" s="2"/>
      <c r="F22" s="2"/>
      <c r="G22" s="2"/>
      <c r="H22" s="10" t="s">
        <v>200</v>
      </c>
      <c r="I22" s="9" t="s">
        <v>303</v>
      </c>
      <c r="J22" s="2">
        <v>592</v>
      </c>
      <c r="K22" s="2" t="s">
        <v>382</v>
      </c>
      <c r="L22" s="2">
        <v>574.87328000000002</v>
      </c>
      <c r="M22" s="22" t="s">
        <v>353</v>
      </c>
      <c r="N22" s="22"/>
      <c r="O22" s="2">
        <v>300</v>
      </c>
      <c r="P22" s="2"/>
      <c r="Q22" s="2"/>
      <c r="R22" s="1">
        <v>1</v>
      </c>
      <c r="S22" s="1">
        <v>1</v>
      </c>
      <c r="T22" s="1"/>
      <c r="U22" s="18" t="s">
        <v>13</v>
      </c>
      <c r="V22" s="19">
        <v>1</v>
      </c>
      <c r="W22" s="1" t="s">
        <v>364</v>
      </c>
      <c r="X22" s="26"/>
      <c r="Y22" s="22">
        <f t="shared" si="0"/>
        <v>300</v>
      </c>
      <c r="Z22" s="26"/>
      <c r="AA22" s="20" t="s">
        <v>354</v>
      </c>
      <c r="AB22" s="6" t="s">
        <v>383</v>
      </c>
    </row>
    <row r="23" spans="1:28" s="12" customFormat="1" ht="29.25" customHeight="1">
      <c r="A23" s="26"/>
      <c r="B23" s="2" t="s">
        <v>384</v>
      </c>
      <c r="C23" s="2" t="s">
        <v>385</v>
      </c>
      <c r="D23" s="2" t="s">
        <v>386</v>
      </c>
      <c r="E23" s="2"/>
      <c r="F23" s="2"/>
      <c r="G23" s="2"/>
      <c r="H23" s="10" t="s">
        <v>200</v>
      </c>
      <c r="I23" s="9" t="s">
        <v>303</v>
      </c>
      <c r="J23" s="2">
        <v>127</v>
      </c>
      <c r="K23" s="2" t="s">
        <v>387</v>
      </c>
      <c r="L23" s="2">
        <v>610.69000000000005</v>
      </c>
      <c r="M23" s="22" t="s">
        <v>353</v>
      </c>
      <c r="N23" s="22"/>
      <c r="O23" s="2">
        <v>35</v>
      </c>
      <c r="P23" s="2"/>
      <c r="Q23" s="2"/>
      <c r="R23" s="1">
        <v>1</v>
      </c>
      <c r="S23" s="1">
        <v>1</v>
      </c>
      <c r="T23" s="1"/>
      <c r="U23" s="18" t="s">
        <v>13</v>
      </c>
      <c r="V23" s="19">
        <v>1</v>
      </c>
      <c r="W23" s="1" t="s">
        <v>364</v>
      </c>
      <c r="X23" s="26"/>
      <c r="Y23" s="22">
        <f t="shared" si="0"/>
        <v>35</v>
      </c>
      <c r="Z23" s="26"/>
      <c r="AA23" s="20" t="s">
        <v>354</v>
      </c>
      <c r="AB23" s="6" t="s">
        <v>388</v>
      </c>
    </row>
    <row r="24" spans="1:28" s="12" customFormat="1" ht="29.25" customHeight="1">
      <c r="A24" s="26"/>
      <c r="B24" s="2" t="s">
        <v>61</v>
      </c>
      <c r="C24" s="2" t="s">
        <v>324</v>
      </c>
      <c r="D24" s="2" t="s">
        <v>390</v>
      </c>
      <c r="E24" s="2"/>
      <c r="F24" s="2"/>
      <c r="G24" s="2"/>
      <c r="H24" s="10" t="s">
        <v>200</v>
      </c>
      <c r="I24" s="9" t="s">
        <v>303</v>
      </c>
      <c r="J24" s="2">
        <v>640</v>
      </c>
      <c r="K24" s="2" t="s">
        <v>904</v>
      </c>
      <c r="L24" s="2"/>
      <c r="M24" s="22" t="s">
        <v>353</v>
      </c>
      <c r="N24" s="22"/>
      <c r="O24" s="2">
        <v>330</v>
      </c>
      <c r="P24" s="2"/>
      <c r="Q24" s="2"/>
      <c r="R24" s="1">
        <v>1</v>
      </c>
      <c r="S24" s="1">
        <v>1</v>
      </c>
      <c r="T24" s="1"/>
      <c r="U24" s="18" t="s">
        <v>13</v>
      </c>
      <c r="V24" s="19">
        <v>2</v>
      </c>
      <c r="W24" s="1" t="s">
        <v>364</v>
      </c>
      <c r="X24" s="26"/>
      <c r="Y24" s="22">
        <f t="shared" si="0"/>
        <v>330</v>
      </c>
      <c r="Z24" s="26"/>
      <c r="AA24" s="20" t="s">
        <v>354</v>
      </c>
      <c r="AB24" s="6"/>
    </row>
    <row r="25" spans="1:28" s="12" customFormat="1" ht="29.25" customHeight="1">
      <c r="A25" s="26"/>
      <c r="B25" s="2" t="s">
        <v>405</v>
      </c>
      <c r="C25" s="2" t="s">
        <v>324</v>
      </c>
      <c r="D25" s="2" t="s">
        <v>389</v>
      </c>
      <c r="E25" s="2"/>
      <c r="F25" s="2"/>
      <c r="G25" s="2"/>
      <c r="H25" s="10" t="s">
        <v>200</v>
      </c>
      <c r="I25" s="9" t="s">
        <v>359</v>
      </c>
      <c r="J25" s="2">
        <v>2489</v>
      </c>
      <c r="K25" s="2" t="s">
        <v>905</v>
      </c>
      <c r="L25" s="2"/>
      <c r="M25" s="22" t="s">
        <v>353</v>
      </c>
      <c r="N25" s="22"/>
      <c r="O25" s="2">
        <v>1300</v>
      </c>
      <c r="P25" s="2"/>
      <c r="Q25" s="2"/>
      <c r="R25" s="13">
        <v>5</v>
      </c>
      <c r="S25" s="13">
        <v>5</v>
      </c>
      <c r="T25" s="13"/>
      <c r="U25" s="18" t="s">
        <v>13</v>
      </c>
      <c r="V25" s="19">
        <v>2</v>
      </c>
      <c r="W25" s="13" t="s">
        <v>365</v>
      </c>
      <c r="X25" s="26"/>
      <c r="Y25" s="22">
        <f t="shared" si="0"/>
        <v>6500</v>
      </c>
      <c r="Z25" s="26"/>
      <c r="AA25" s="20" t="s">
        <v>354</v>
      </c>
      <c r="AB25" s="6"/>
    </row>
    <row r="26" spans="1:28" s="12" customFormat="1" ht="29.25" customHeight="1">
      <c r="A26" s="26"/>
      <c r="B26" s="2" t="s">
        <v>405</v>
      </c>
      <c r="C26" s="2" t="s">
        <v>324</v>
      </c>
      <c r="D26" s="2" t="s">
        <v>389</v>
      </c>
      <c r="E26" s="2"/>
      <c r="F26" s="2"/>
      <c r="G26" s="2"/>
      <c r="H26" s="10" t="s">
        <v>200</v>
      </c>
      <c r="I26" s="9" t="s">
        <v>359</v>
      </c>
      <c r="J26" s="2">
        <v>2489</v>
      </c>
      <c r="K26" s="2" t="s">
        <v>905</v>
      </c>
      <c r="L26" s="2"/>
      <c r="M26" s="22" t="s">
        <v>353</v>
      </c>
      <c r="N26" s="22"/>
      <c r="O26" s="2">
        <v>1300</v>
      </c>
      <c r="P26" s="2"/>
      <c r="Q26" s="2"/>
      <c r="R26" s="13">
        <v>3</v>
      </c>
      <c r="S26" s="13">
        <v>3</v>
      </c>
      <c r="T26" s="13"/>
      <c r="U26" s="18" t="s">
        <v>13</v>
      </c>
      <c r="V26" s="19">
        <v>2</v>
      </c>
      <c r="W26" s="13" t="s">
        <v>365</v>
      </c>
      <c r="X26" s="26"/>
      <c r="Y26" s="22">
        <f t="shared" si="0"/>
        <v>3900</v>
      </c>
      <c r="Z26" s="26"/>
      <c r="AA26" s="20" t="s">
        <v>354</v>
      </c>
      <c r="AB26" s="6" t="s">
        <v>186</v>
      </c>
    </row>
    <row r="27" spans="1:28" s="12" customFormat="1" ht="29.25" customHeight="1">
      <c r="A27" s="26"/>
      <c r="B27" s="2" t="s">
        <v>406</v>
      </c>
      <c r="C27" s="2" t="s">
        <v>8</v>
      </c>
      <c r="D27" s="2"/>
      <c r="E27" s="2"/>
      <c r="F27" s="2"/>
      <c r="G27" s="2"/>
      <c r="H27" s="10" t="s">
        <v>200</v>
      </c>
      <c r="I27" s="9" t="s">
        <v>303</v>
      </c>
      <c r="J27" s="2">
        <v>320</v>
      </c>
      <c r="K27" s="2" t="s">
        <v>360</v>
      </c>
      <c r="L27" s="2">
        <v>612.82000000000005</v>
      </c>
      <c r="M27" s="22" t="s">
        <v>353</v>
      </c>
      <c r="N27" s="22"/>
      <c r="O27" s="2">
        <v>165</v>
      </c>
      <c r="P27" s="2"/>
      <c r="Q27" s="2"/>
      <c r="R27" s="1">
        <v>1</v>
      </c>
      <c r="S27" s="1">
        <v>1</v>
      </c>
      <c r="T27" s="1"/>
      <c r="U27" s="18" t="s">
        <v>13</v>
      </c>
      <c r="V27" s="18">
        <v>3</v>
      </c>
      <c r="W27" s="1" t="s">
        <v>364</v>
      </c>
      <c r="X27" s="26"/>
      <c r="Y27" s="22">
        <f t="shared" si="0"/>
        <v>165</v>
      </c>
      <c r="Z27" s="26"/>
      <c r="AA27" s="20" t="s">
        <v>354</v>
      </c>
      <c r="AB27" s="11"/>
    </row>
    <row r="28" spans="1:28" s="12" customFormat="1" ht="29.25" customHeight="1">
      <c r="A28" s="26"/>
      <c r="B28" s="2" t="s">
        <v>407</v>
      </c>
      <c r="C28" s="2" t="s">
        <v>193</v>
      </c>
      <c r="D28" s="2"/>
      <c r="E28" s="2"/>
      <c r="F28" s="2"/>
      <c r="G28" s="2"/>
      <c r="H28" s="10" t="s">
        <v>200</v>
      </c>
      <c r="I28" s="9" t="s">
        <v>303</v>
      </c>
      <c r="J28" s="2">
        <v>415</v>
      </c>
      <c r="K28" s="2" t="s">
        <v>906</v>
      </c>
      <c r="L28" s="2">
        <v>612.79999999999995</v>
      </c>
      <c r="M28" s="22" t="s">
        <v>353</v>
      </c>
      <c r="N28" s="22"/>
      <c r="O28" s="2">
        <v>210</v>
      </c>
      <c r="P28" s="2"/>
      <c r="Q28" s="2"/>
      <c r="R28" s="1">
        <v>1</v>
      </c>
      <c r="S28" s="1">
        <v>1</v>
      </c>
      <c r="T28" s="1"/>
      <c r="U28" s="18" t="s">
        <v>13</v>
      </c>
      <c r="V28" s="18">
        <v>3</v>
      </c>
      <c r="W28" s="1" t="s">
        <v>364</v>
      </c>
      <c r="X28" s="26"/>
      <c r="Y28" s="22">
        <f t="shared" si="0"/>
        <v>210</v>
      </c>
      <c r="Z28" s="26"/>
      <c r="AA28" s="20" t="s">
        <v>354</v>
      </c>
      <c r="AB28" s="11"/>
    </row>
    <row r="29" spans="1:28" s="12" customFormat="1" ht="29.25" customHeight="1">
      <c r="A29" s="26"/>
      <c r="B29" s="2" t="s">
        <v>408</v>
      </c>
      <c r="C29" s="2" t="s">
        <v>193</v>
      </c>
      <c r="D29" s="2"/>
      <c r="E29" s="2"/>
      <c r="F29" s="2"/>
      <c r="G29" s="2"/>
      <c r="H29" s="10" t="s">
        <v>200</v>
      </c>
      <c r="I29" s="9" t="s">
        <v>303</v>
      </c>
      <c r="J29" s="2">
        <v>398</v>
      </c>
      <c r="K29" s="2" t="s">
        <v>360</v>
      </c>
      <c r="L29" s="2">
        <v>612.79999999999995</v>
      </c>
      <c r="M29" s="22" t="s">
        <v>353</v>
      </c>
      <c r="N29" s="22"/>
      <c r="O29" s="2">
        <v>200</v>
      </c>
      <c r="P29" s="2"/>
      <c r="Q29" s="2"/>
      <c r="R29" s="1">
        <v>1</v>
      </c>
      <c r="S29" s="1">
        <v>1</v>
      </c>
      <c r="T29" s="1"/>
      <c r="U29" s="18" t="s">
        <v>13</v>
      </c>
      <c r="V29" s="18">
        <v>3</v>
      </c>
      <c r="W29" s="1" t="s">
        <v>364</v>
      </c>
      <c r="X29" s="26"/>
      <c r="Y29" s="22">
        <f t="shared" si="0"/>
        <v>200</v>
      </c>
      <c r="Z29" s="26"/>
      <c r="AA29" s="20" t="s">
        <v>354</v>
      </c>
      <c r="AB29" s="11"/>
    </row>
    <row r="30" spans="1:28" s="12" customFormat="1" ht="29.25" customHeight="1">
      <c r="A30" s="26"/>
      <c r="B30" s="2" t="s">
        <v>290</v>
      </c>
      <c r="C30" s="2" t="s">
        <v>187</v>
      </c>
      <c r="D30" s="2"/>
      <c r="E30" s="2"/>
      <c r="F30" s="2"/>
      <c r="G30" s="2"/>
      <c r="H30" s="10" t="s">
        <v>200</v>
      </c>
      <c r="I30" s="9" t="s">
        <v>303</v>
      </c>
      <c r="J30" s="2">
        <v>208</v>
      </c>
      <c r="K30" s="2" t="s">
        <v>907</v>
      </c>
      <c r="L30" s="2"/>
      <c r="M30" s="22" t="s">
        <v>353</v>
      </c>
      <c r="N30" s="22"/>
      <c r="O30" s="2">
        <v>105</v>
      </c>
      <c r="P30" s="2"/>
      <c r="Q30" s="2"/>
      <c r="R30" s="1">
        <v>1</v>
      </c>
      <c r="S30" s="1">
        <v>1</v>
      </c>
      <c r="T30" s="1"/>
      <c r="U30" s="18" t="s">
        <v>13</v>
      </c>
      <c r="V30" s="18">
        <v>3</v>
      </c>
      <c r="W30" s="1" t="s">
        <v>364</v>
      </c>
      <c r="X30" s="26"/>
      <c r="Y30" s="22">
        <f t="shared" si="0"/>
        <v>105</v>
      </c>
      <c r="Z30" s="26"/>
      <c r="AA30" s="20" t="s">
        <v>354</v>
      </c>
      <c r="AB30" s="11"/>
    </row>
    <row r="31" spans="1:28" s="12" customFormat="1" ht="29.25" customHeight="1">
      <c r="A31" s="26"/>
      <c r="B31" s="2" t="s">
        <v>409</v>
      </c>
      <c r="C31" s="2" t="s">
        <v>58</v>
      </c>
      <c r="D31" s="2"/>
      <c r="E31" s="2"/>
      <c r="F31" s="2"/>
      <c r="G31" s="2"/>
      <c r="H31" s="10" t="s">
        <v>200</v>
      </c>
      <c r="I31" s="9" t="s">
        <v>303</v>
      </c>
      <c r="J31" s="2">
        <v>208</v>
      </c>
      <c r="K31" s="2" t="s">
        <v>905</v>
      </c>
      <c r="L31" s="2"/>
      <c r="M31" s="22" t="s">
        <v>353</v>
      </c>
      <c r="N31" s="22"/>
      <c r="O31" s="2">
        <v>110</v>
      </c>
      <c r="P31" s="2"/>
      <c r="Q31" s="2"/>
      <c r="R31" s="1">
        <v>1</v>
      </c>
      <c r="S31" s="1">
        <v>1</v>
      </c>
      <c r="T31" s="1"/>
      <c r="U31" s="18" t="s">
        <v>13</v>
      </c>
      <c r="V31" s="18">
        <v>3</v>
      </c>
      <c r="W31" s="1" t="s">
        <v>364</v>
      </c>
      <c r="X31" s="26"/>
      <c r="Y31" s="22">
        <f t="shared" si="0"/>
        <v>110</v>
      </c>
      <c r="Z31" s="26"/>
      <c r="AA31" s="20" t="s">
        <v>354</v>
      </c>
      <c r="AB31" s="11"/>
    </row>
    <row r="32" spans="1:28" s="12" customFormat="1" ht="29.25" customHeight="1">
      <c r="A32" s="26"/>
      <c r="B32" s="2" t="s">
        <v>410</v>
      </c>
      <c r="C32" s="2" t="s">
        <v>248</v>
      </c>
      <c r="D32" s="2"/>
      <c r="E32" s="2"/>
      <c r="F32" s="2"/>
      <c r="G32" s="2"/>
      <c r="H32" s="10" t="s">
        <v>200</v>
      </c>
      <c r="I32" s="9" t="s">
        <v>303</v>
      </c>
      <c r="J32" s="2">
        <v>448</v>
      </c>
      <c r="K32" s="2" t="s">
        <v>908</v>
      </c>
      <c r="L32" s="2">
        <v>614.1</v>
      </c>
      <c r="M32" s="22" t="s">
        <v>353</v>
      </c>
      <c r="N32" s="22"/>
      <c r="O32" s="2">
        <v>230</v>
      </c>
      <c r="P32" s="2"/>
      <c r="Q32" s="2"/>
      <c r="R32" s="1">
        <v>1</v>
      </c>
      <c r="S32" s="1">
        <v>1</v>
      </c>
      <c r="T32" s="1"/>
      <c r="U32" s="18" t="s">
        <v>13</v>
      </c>
      <c r="V32" s="18">
        <v>3</v>
      </c>
      <c r="W32" s="1" t="s">
        <v>364</v>
      </c>
      <c r="X32" s="26"/>
      <c r="Y32" s="22">
        <f t="shared" si="0"/>
        <v>230</v>
      </c>
      <c r="Z32" s="26"/>
      <c r="AA32" s="20" t="s">
        <v>354</v>
      </c>
      <c r="AB32" s="11"/>
    </row>
    <row r="33" spans="1:28" s="12" customFormat="1" ht="29.25" customHeight="1">
      <c r="A33" s="26"/>
      <c r="B33" s="2" t="s">
        <v>411</v>
      </c>
      <c r="C33" s="2" t="s">
        <v>64</v>
      </c>
      <c r="D33" s="2" t="s">
        <v>392</v>
      </c>
      <c r="E33" s="2"/>
      <c r="F33" s="2"/>
      <c r="G33" s="2"/>
      <c r="H33" s="10" t="s">
        <v>200</v>
      </c>
      <c r="I33" s="9" t="s">
        <v>303</v>
      </c>
      <c r="J33" s="2">
        <v>386</v>
      </c>
      <c r="K33" s="2" t="s">
        <v>556</v>
      </c>
      <c r="L33" s="2"/>
      <c r="M33" s="22" t="s">
        <v>353</v>
      </c>
      <c r="N33" s="22"/>
      <c r="O33" s="2">
        <v>180</v>
      </c>
      <c r="P33" s="2"/>
      <c r="Q33" s="2"/>
      <c r="R33" s="1">
        <v>1</v>
      </c>
      <c r="S33" s="1">
        <v>1</v>
      </c>
      <c r="T33" s="1"/>
      <c r="U33" s="18" t="s">
        <v>13</v>
      </c>
      <c r="V33" s="19">
        <v>4</v>
      </c>
      <c r="W33" s="1" t="s">
        <v>364</v>
      </c>
      <c r="X33" s="26"/>
      <c r="Y33" s="22">
        <f t="shared" si="0"/>
        <v>180</v>
      </c>
      <c r="Z33" s="26"/>
      <c r="AA33" s="20" t="s">
        <v>354</v>
      </c>
      <c r="AB33" s="11"/>
    </row>
    <row r="34" spans="1:28" s="12" customFormat="1" ht="29.25" customHeight="1">
      <c r="A34" s="26"/>
      <c r="B34" s="2" t="s">
        <v>89</v>
      </c>
      <c r="C34" s="2" t="s">
        <v>88</v>
      </c>
      <c r="D34" s="2" t="s">
        <v>393</v>
      </c>
      <c r="E34" s="2"/>
      <c r="F34" s="2"/>
      <c r="G34" s="2"/>
      <c r="H34" s="10" t="s">
        <v>200</v>
      </c>
      <c r="I34" s="9" t="s">
        <v>303</v>
      </c>
      <c r="J34" s="2">
        <v>180</v>
      </c>
      <c r="K34" s="2" t="s">
        <v>556</v>
      </c>
      <c r="L34" s="2"/>
      <c r="M34" s="22" t="s">
        <v>353</v>
      </c>
      <c r="N34" s="22"/>
      <c r="O34" s="2">
        <v>95</v>
      </c>
      <c r="P34" s="2"/>
      <c r="Q34" s="2"/>
      <c r="R34" s="1">
        <v>1</v>
      </c>
      <c r="S34" s="1">
        <v>1</v>
      </c>
      <c r="T34" s="1"/>
      <c r="U34" s="18" t="s">
        <v>13</v>
      </c>
      <c r="V34" s="19">
        <v>4</v>
      </c>
      <c r="W34" s="1" t="s">
        <v>364</v>
      </c>
      <c r="X34" s="26"/>
      <c r="Y34" s="22">
        <f t="shared" ref="Y34:Y65" si="1">O34*R34</f>
        <v>95</v>
      </c>
      <c r="Z34" s="26"/>
      <c r="AA34" s="20" t="s">
        <v>354</v>
      </c>
      <c r="AB34" s="11"/>
    </row>
    <row r="35" spans="1:28" s="12" customFormat="1" ht="29.25" customHeight="1">
      <c r="A35" s="26"/>
      <c r="B35" s="2" t="s">
        <v>94</v>
      </c>
      <c r="C35" s="2" t="s">
        <v>191</v>
      </c>
      <c r="D35" s="2"/>
      <c r="E35" s="2"/>
      <c r="F35" s="2"/>
      <c r="G35" s="2"/>
      <c r="H35" s="10" t="s">
        <v>200</v>
      </c>
      <c r="I35" s="9" t="s">
        <v>303</v>
      </c>
      <c r="J35" s="2">
        <v>230</v>
      </c>
      <c r="K35" s="2" t="s">
        <v>556</v>
      </c>
      <c r="L35" s="2"/>
      <c r="M35" s="22" t="s">
        <v>353</v>
      </c>
      <c r="N35" s="22"/>
      <c r="O35" s="2">
        <v>70</v>
      </c>
      <c r="P35" s="2"/>
      <c r="Q35" s="2"/>
      <c r="R35" s="1">
        <v>5</v>
      </c>
      <c r="S35" s="1">
        <v>5</v>
      </c>
      <c r="T35" s="1"/>
      <c r="U35" s="18" t="s">
        <v>13</v>
      </c>
      <c r="V35" s="19">
        <v>4</v>
      </c>
      <c r="W35" s="1" t="s">
        <v>364</v>
      </c>
      <c r="X35" s="26"/>
      <c r="Y35" s="22">
        <f t="shared" si="1"/>
        <v>350</v>
      </c>
      <c r="Z35" s="26"/>
      <c r="AA35" s="20" t="s">
        <v>354</v>
      </c>
      <c r="AB35" s="11"/>
    </row>
    <row r="36" spans="1:28" s="12" customFormat="1" ht="29.25" customHeight="1">
      <c r="A36" s="26"/>
      <c r="B36" s="2" t="s">
        <v>412</v>
      </c>
      <c r="C36" s="2" t="s">
        <v>171</v>
      </c>
      <c r="D36" s="2"/>
      <c r="E36" s="2"/>
      <c r="F36" s="2"/>
      <c r="G36" s="2"/>
      <c r="H36" s="10" t="s">
        <v>200</v>
      </c>
      <c r="I36" s="9" t="s">
        <v>303</v>
      </c>
      <c r="J36" s="2">
        <v>116</v>
      </c>
      <c r="K36" s="2" t="s">
        <v>556</v>
      </c>
      <c r="L36" s="2">
        <v>615.10917671000004</v>
      </c>
      <c r="M36" s="22" t="s">
        <v>353</v>
      </c>
      <c r="N36" s="22"/>
      <c r="O36" s="2">
        <v>30</v>
      </c>
      <c r="P36" s="2"/>
      <c r="Q36" s="2"/>
      <c r="R36" s="1">
        <v>6</v>
      </c>
      <c r="S36" s="1">
        <v>6</v>
      </c>
      <c r="T36" s="1"/>
      <c r="U36" s="18" t="s">
        <v>13</v>
      </c>
      <c r="V36" s="19">
        <v>4</v>
      </c>
      <c r="W36" s="1" t="s">
        <v>364</v>
      </c>
      <c r="X36" s="26"/>
      <c r="Y36" s="22">
        <f t="shared" si="1"/>
        <v>180</v>
      </c>
      <c r="Z36" s="26"/>
      <c r="AA36" s="20" t="s">
        <v>354</v>
      </c>
      <c r="AB36" s="11" t="s">
        <v>557</v>
      </c>
    </row>
    <row r="37" spans="1:28" s="12" customFormat="1" ht="29.25" customHeight="1">
      <c r="A37" s="26"/>
      <c r="B37" s="2" t="s">
        <v>47</v>
      </c>
      <c r="C37" s="2" t="s">
        <v>46</v>
      </c>
      <c r="D37" s="2" t="s">
        <v>558</v>
      </c>
      <c r="E37" s="2"/>
      <c r="F37" s="2"/>
      <c r="G37" s="2"/>
      <c r="H37" s="10" t="s">
        <v>200</v>
      </c>
      <c r="I37" s="9" t="s">
        <v>303</v>
      </c>
      <c r="J37" s="2">
        <v>288</v>
      </c>
      <c r="K37" s="2" t="s">
        <v>559</v>
      </c>
      <c r="L37" s="2">
        <v>610.1</v>
      </c>
      <c r="M37" s="22" t="s">
        <v>353</v>
      </c>
      <c r="N37" s="22"/>
      <c r="O37" s="2">
        <v>80</v>
      </c>
      <c r="P37" s="2"/>
      <c r="Q37" s="2"/>
      <c r="R37" s="1">
        <v>5</v>
      </c>
      <c r="S37" s="1">
        <v>5</v>
      </c>
      <c r="T37" s="1"/>
      <c r="U37" s="18" t="s">
        <v>13</v>
      </c>
      <c r="V37" s="19">
        <v>4</v>
      </c>
      <c r="W37" s="1" t="s">
        <v>364</v>
      </c>
      <c r="X37" s="26"/>
      <c r="Y37" s="22">
        <f t="shared" si="1"/>
        <v>400</v>
      </c>
      <c r="Z37" s="26"/>
      <c r="AA37" s="20" t="s">
        <v>354</v>
      </c>
      <c r="AB37" s="11" t="s">
        <v>560</v>
      </c>
    </row>
    <row r="38" spans="1:28" s="12" customFormat="1" ht="29.25" customHeight="1">
      <c r="A38" s="26"/>
      <c r="B38" s="2" t="s">
        <v>98</v>
      </c>
      <c r="C38" s="2" t="s">
        <v>191</v>
      </c>
      <c r="D38" s="2"/>
      <c r="E38" s="2"/>
      <c r="F38" s="2"/>
      <c r="G38" s="2"/>
      <c r="H38" s="10" t="s">
        <v>200</v>
      </c>
      <c r="I38" s="9" t="s">
        <v>303</v>
      </c>
      <c r="J38" s="2">
        <v>120</v>
      </c>
      <c r="K38" s="2" t="s">
        <v>909</v>
      </c>
      <c r="L38" s="2"/>
      <c r="M38" s="22" t="s">
        <v>353</v>
      </c>
      <c r="N38" s="22"/>
      <c r="O38" s="2">
        <v>40</v>
      </c>
      <c r="P38" s="2"/>
      <c r="Q38" s="2"/>
      <c r="R38" s="1">
        <v>8</v>
      </c>
      <c r="S38" s="1">
        <v>8</v>
      </c>
      <c r="T38" s="1"/>
      <c r="U38" s="18" t="s">
        <v>13</v>
      </c>
      <c r="V38" s="19">
        <v>4</v>
      </c>
      <c r="W38" s="1" t="s">
        <v>364</v>
      </c>
      <c r="X38" s="26"/>
      <c r="Y38" s="22">
        <f t="shared" si="1"/>
        <v>320</v>
      </c>
      <c r="Z38" s="26"/>
      <c r="AA38" s="20" t="s">
        <v>354</v>
      </c>
      <c r="AB38" s="11"/>
    </row>
    <row r="39" spans="1:28" s="12" customFormat="1" ht="29.25" customHeight="1">
      <c r="A39" s="26"/>
      <c r="B39" s="2" t="s">
        <v>249</v>
      </c>
      <c r="C39" s="2" t="s">
        <v>12</v>
      </c>
      <c r="D39" s="2" t="s">
        <v>561</v>
      </c>
      <c r="E39" s="2"/>
      <c r="F39" s="2"/>
      <c r="G39" s="2"/>
      <c r="H39" s="10" t="s">
        <v>200</v>
      </c>
      <c r="I39" s="9" t="s">
        <v>303</v>
      </c>
      <c r="J39" s="2">
        <v>226</v>
      </c>
      <c r="K39" s="2" t="s">
        <v>909</v>
      </c>
      <c r="L39" s="2"/>
      <c r="M39" s="22" t="s">
        <v>353</v>
      </c>
      <c r="N39" s="22"/>
      <c r="O39" s="2">
        <v>65</v>
      </c>
      <c r="P39" s="2"/>
      <c r="Q39" s="2"/>
      <c r="R39" s="1">
        <v>1</v>
      </c>
      <c r="S39" s="1">
        <v>1</v>
      </c>
      <c r="T39" s="1"/>
      <c r="U39" s="18" t="s">
        <v>13</v>
      </c>
      <c r="V39" s="19">
        <v>4</v>
      </c>
      <c r="W39" s="1" t="s">
        <v>364</v>
      </c>
      <c r="X39" s="26"/>
      <c r="Y39" s="22">
        <f t="shared" si="1"/>
        <v>65</v>
      </c>
      <c r="Z39" s="26"/>
      <c r="AA39" s="20" t="s">
        <v>354</v>
      </c>
      <c r="AB39" s="11"/>
    </row>
    <row r="40" spans="1:28" s="12" customFormat="1" ht="29.25" customHeight="1">
      <c r="A40" s="26"/>
      <c r="B40" s="2" t="s">
        <v>42</v>
      </c>
      <c r="C40" s="2" t="s">
        <v>41</v>
      </c>
      <c r="D40" s="2" t="s">
        <v>391</v>
      </c>
      <c r="E40" s="2"/>
      <c r="F40" s="2"/>
      <c r="G40" s="2"/>
      <c r="H40" s="10" t="s">
        <v>200</v>
      </c>
      <c r="I40" s="9" t="s">
        <v>303</v>
      </c>
      <c r="J40" s="2">
        <v>552</v>
      </c>
      <c r="K40" s="2" t="s">
        <v>910</v>
      </c>
      <c r="L40" s="2"/>
      <c r="M40" s="22" t="s">
        <v>353</v>
      </c>
      <c r="N40" s="22"/>
      <c r="O40" s="2">
        <v>285</v>
      </c>
      <c r="P40" s="2"/>
      <c r="Q40" s="2"/>
      <c r="R40" s="13">
        <v>4</v>
      </c>
      <c r="S40" s="13">
        <v>4</v>
      </c>
      <c r="T40" s="13"/>
      <c r="U40" s="18" t="s">
        <v>13</v>
      </c>
      <c r="V40" s="19">
        <v>4</v>
      </c>
      <c r="W40" s="1" t="s">
        <v>365</v>
      </c>
      <c r="X40" s="26"/>
      <c r="Y40" s="22">
        <f t="shared" si="1"/>
        <v>1140</v>
      </c>
      <c r="Z40" s="26"/>
      <c r="AA40" s="20" t="s">
        <v>354</v>
      </c>
      <c r="AB40" s="11"/>
    </row>
    <row r="41" spans="1:28" s="12" customFormat="1" ht="29.25" customHeight="1">
      <c r="A41" s="26"/>
      <c r="B41" s="2" t="s">
        <v>413</v>
      </c>
      <c r="C41" s="2" t="s">
        <v>33</v>
      </c>
      <c r="D41" s="2" t="s">
        <v>562</v>
      </c>
      <c r="E41" s="2"/>
      <c r="F41" s="2"/>
      <c r="G41" s="2"/>
      <c r="H41" s="10" t="s">
        <v>200</v>
      </c>
      <c r="I41" s="9" t="s">
        <v>303</v>
      </c>
      <c r="J41" s="2">
        <v>320</v>
      </c>
      <c r="K41" s="2" t="s">
        <v>911</v>
      </c>
      <c r="L41" s="2"/>
      <c r="M41" s="22" t="s">
        <v>353</v>
      </c>
      <c r="N41" s="22"/>
      <c r="O41" s="2">
        <v>85</v>
      </c>
      <c r="P41" s="2"/>
      <c r="Q41" s="2"/>
      <c r="R41" s="1">
        <v>2</v>
      </c>
      <c r="S41" s="1">
        <v>2</v>
      </c>
      <c r="T41" s="1"/>
      <c r="U41" s="18" t="s">
        <v>13</v>
      </c>
      <c r="V41" s="19">
        <v>4</v>
      </c>
      <c r="W41" s="1" t="s">
        <v>364</v>
      </c>
      <c r="X41" s="26"/>
      <c r="Y41" s="22">
        <f t="shared" si="1"/>
        <v>170</v>
      </c>
      <c r="Z41" s="26"/>
      <c r="AA41" s="20" t="s">
        <v>354</v>
      </c>
      <c r="AB41" s="11"/>
    </row>
    <row r="42" spans="1:28" s="12" customFormat="1" ht="29.25" customHeight="1">
      <c r="A42" s="26"/>
      <c r="B42" s="2" t="s">
        <v>414</v>
      </c>
      <c r="C42" s="2" t="s">
        <v>250</v>
      </c>
      <c r="D42" s="2" t="s">
        <v>563</v>
      </c>
      <c r="E42" s="2"/>
      <c r="F42" s="2"/>
      <c r="G42" s="2"/>
      <c r="H42" s="10" t="s">
        <v>200</v>
      </c>
      <c r="I42" s="9" t="s">
        <v>303</v>
      </c>
      <c r="J42" s="2">
        <v>610</v>
      </c>
      <c r="K42" s="2" t="s">
        <v>912</v>
      </c>
      <c r="L42" s="2"/>
      <c r="M42" s="22" t="s">
        <v>353</v>
      </c>
      <c r="N42" s="22"/>
      <c r="O42" s="2">
        <v>310</v>
      </c>
      <c r="P42" s="2"/>
      <c r="Q42" s="2"/>
      <c r="R42" s="1">
        <v>2</v>
      </c>
      <c r="S42" s="1">
        <v>2</v>
      </c>
      <c r="T42" s="1"/>
      <c r="U42" s="18" t="s">
        <v>13</v>
      </c>
      <c r="V42" s="19">
        <v>4</v>
      </c>
      <c r="W42" s="1" t="s">
        <v>364</v>
      </c>
      <c r="X42" s="26"/>
      <c r="Y42" s="22">
        <f t="shared" si="1"/>
        <v>620</v>
      </c>
      <c r="Z42" s="26"/>
      <c r="AA42" s="20" t="s">
        <v>354</v>
      </c>
      <c r="AB42" s="11"/>
    </row>
    <row r="43" spans="1:28" s="12" customFormat="1" ht="29.25" customHeight="1">
      <c r="A43" s="26"/>
      <c r="B43" s="2" t="s">
        <v>415</v>
      </c>
      <c r="C43" s="2" t="s">
        <v>15</v>
      </c>
      <c r="D43" s="2"/>
      <c r="E43" s="2"/>
      <c r="F43" s="2"/>
      <c r="G43" s="2"/>
      <c r="H43" s="10" t="s">
        <v>200</v>
      </c>
      <c r="I43" s="9" t="s">
        <v>303</v>
      </c>
      <c r="J43" s="2">
        <v>260</v>
      </c>
      <c r="K43" s="2" t="s">
        <v>913</v>
      </c>
      <c r="L43" s="2"/>
      <c r="M43" s="22" t="s">
        <v>353</v>
      </c>
      <c r="N43" s="22"/>
      <c r="O43" s="2">
        <v>140</v>
      </c>
      <c r="P43" s="2"/>
      <c r="Q43" s="2"/>
      <c r="R43" s="1">
        <v>1</v>
      </c>
      <c r="S43" s="1">
        <v>1</v>
      </c>
      <c r="T43" s="1"/>
      <c r="U43" s="18" t="s">
        <v>14</v>
      </c>
      <c r="V43" s="19">
        <v>4</v>
      </c>
      <c r="W43" s="1" t="s">
        <v>364</v>
      </c>
      <c r="X43" s="26"/>
      <c r="Y43" s="22">
        <f t="shared" si="1"/>
        <v>140</v>
      </c>
      <c r="Z43" s="26"/>
      <c r="AA43" s="20" t="s">
        <v>354</v>
      </c>
      <c r="AB43" s="11"/>
    </row>
    <row r="44" spans="1:28" s="12" customFormat="1" ht="29.25" customHeight="1">
      <c r="A44" s="26"/>
      <c r="B44" s="2" t="s">
        <v>416</v>
      </c>
      <c r="C44" s="23" t="s">
        <v>175</v>
      </c>
      <c r="D44" s="2"/>
      <c r="E44" s="2"/>
      <c r="F44" s="2"/>
      <c r="G44" s="2"/>
      <c r="H44" s="10" t="s">
        <v>200</v>
      </c>
      <c r="I44" s="9" t="s">
        <v>303</v>
      </c>
      <c r="J44" s="2">
        <v>104</v>
      </c>
      <c r="K44" s="2" t="s">
        <v>914</v>
      </c>
      <c r="L44" s="2"/>
      <c r="M44" s="22" t="s">
        <v>353</v>
      </c>
      <c r="N44" s="22"/>
      <c r="O44" s="2">
        <v>65</v>
      </c>
      <c r="P44" s="2"/>
      <c r="Q44" s="2"/>
      <c r="R44" s="1">
        <v>1</v>
      </c>
      <c r="S44" s="1">
        <v>1</v>
      </c>
      <c r="T44" s="1"/>
      <c r="U44" s="18" t="s">
        <v>13</v>
      </c>
      <c r="V44" s="19">
        <v>4</v>
      </c>
      <c r="W44" s="1" t="s">
        <v>364</v>
      </c>
      <c r="X44" s="26"/>
      <c r="Y44" s="22">
        <f t="shared" si="1"/>
        <v>65</v>
      </c>
      <c r="Z44" s="26"/>
      <c r="AA44" s="20" t="s">
        <v>354</v>
      </c>
      <c r="AB44" s="11"/>
    </row>
    <row r="45" spans="1:28" s="12" customFormat="1" ht="29.25" customHeight="1">
      <c r="A45" s="26"/>
      <c r="B45" s="2" t="s">
        <v>417</v>
      </c>
      <c r="C45" s="2" t="s">
        <v>192</v>
      </c>
      <c r="D45" s="2"/>
      <c r="E45" s="2"/>
      <c r="F45" s="2"/>
      <c r="G45" s="2"/>
      <c r="H45" s="10" t="s">
        <v>200</v>
      </c>
      <c r="I45" s="9" t="s">
        <v>303</v>
      </c>
      <c r="J45" s="2">
        <v>850</v>
      </c>
      <c r="K45" s="2" t="s">
        <v>915</v>
      </c>
      <c r="L45" s="2"/>
      <c r="M45" s="22" t="s">
        <v>353</v>
      </c>
      <c r="N45" s="22"/>
      <c r="O45" s="2">
        <v>210</v>
      </c>
      <c r="P45" s="2"/>
      <c r="Q45" s="2"/>
      <c r="R45" s="1">
        <v>1</v>
      </c>
      <c r="S45" s="1">
        <v>1</v>
      </c>
      <c r="T45" s="1"/>
      <c r="U45" s="18" t="s">
        <v>13</v>
      </c>
      <c r="V45" s="19">
        <v>4</v>
      </c>
      <c r="W45" s="1" t="s">
        <v>364</v>
      </c>
      <c r="X45" s="26"/>
      <c r="Y45" s="22">
        <f t="shared" si="1"/>
        <v>210</v>
      </c>
      <c r="Z45" s="26"/>
      <c r="AA45" s="20" t="s">
        <v>354</v>
      </c>
      <c r="AB45" s="11"/>
    </row>
    <row r="46" spans="1:28" s="12" customFormat="1" ht="29.25" customHeight="1">
      <c r="A46" s="26"/>
      <c r="B46" s="2" t="s">
        <v>418</v>
      </c>
      <c r="C46" s="2" t="s">
        <v>172</v>
      </c>
      <c r="D46" s="2"/>
      <c r="E46" s="2"/>
      <c r="F46" s="2"/>
      <c r="G46" s="2"/>
      <c r="H46" s="10" t="s">
        <v>200</v>
      </c>
      <c r="I46" s="9" t="s">
        <v>303</v>
      </c>
      <c r="J46" s="2">
        <v>966</v>
      </c>
      <c r="K46" s="2" t="s">
        <v>653</v>
      </c>
      <c r="L46" s="2"/>
      <c r="M46" s="22" t="s">
        <v>353</v>
      </c>
      <c r="N46" s="22"/>
      <c r="O46" s="2">
        <v>250</v>
      </c>
      <c r="P46" s="2"/>
      <c r="Q46" s="2"/>
      <c r="R46" s="1">
        <v>1</v>
      </c>
      <c r="S46" s="1">
        <v>1</v>
      </c>
      <c r="T46" s="1"/>
      <c r="U46" s="18" t="s">
        <v>13</v>
      </c>
      <c r="V46" s="19">
        <v>4</v>
      </c>
      <c r="W46" s="1" t="s">
        <v>364</v>
      </c>
      <c r="X46" s="26"/>
      <c r="Y46" s="22">
        <f t="shared" si="1"/>
        <v>250</v>
      </c>
      <c r="Z46" s="26"/>
      <c r="AA46" s="20" t="s">
        <v>354</v>
      </c>
      <c r="AB46" s="11"/>
    </row>
    <row r="47" spans="1:28" s="12" customFormat="1" ht="29.25" customHeight="1">
      <c r="A47" s="26"/>
      <c r="B47" s="2" t="s">
        <v>419</v>
      </c>
      <c r="C47" s="2" t="s">
        <v>25</v>
      </c>
      <c r="D47" s="2"/>
      <c r="E47" s="2"/>
      <c r="F47" s="2"/>
      <c r="G47" s="2"/>
      <c r="H47" s="10" t="s">
        <v>200</v>
      </c>
      <c r="I47" s="9" t="s">
        <v>303</v>
      </c>
      <c r="J47" s="2">
        <v>448</v>
      </c>
      <c r="K47" s="2" t="s">
        <v>916</v>
      </c>
      <c r="L47" s="2"/>
      <c r="M47" s="22" t="s">
        <v>353</v>
      </c>
      <c r="N47" s="22"/>
      <c r="O47" s="2">
        <v>120</v>
      </c>
      <c r="P47" s="2"/>
      <c r="Q47" s="2"/>
      <c r="R47" s="1">
        <v>5</v>
      </c>
      <c r="S47" s="1">
        <v>5</v>
      </c>
      <c r="T47" s="1"/>
      <c r="U47" s="18" t="s">
        <v>13</v>
      </c>
      <c r="V47" s="18">
        <v>4</v>
      </c>
      <c r="W47" s="1" t="s">
        <v>364</v>
      </c>
      <c r="X47" s="26"/>
      <c r="Y47" s="22">
        <f t="shared" si="1"/>
        <v>600</v>
      </c>
      <c r="Z47" s="26"/>
      <c r="AA47" s="20" t="s">
        <v>354</v>
      </c>
      <c r="AB47" s="11"/>
    </row>
    <row r="48" spans="1:28" s="12" customFormat="1" ht="29.25" customHeight="1">
      <c r="A48" s="26"/>
      <c r="B48" s="2" t="s">
        <v>174</v>
      </c>
      <c r="C48" s="23" t="s">
        <v>918</v>
      </c>
      <c r="D48" s="2"/>
      <c r="E48" s="2"/>
      <c r="F48" s="2"/>
      <c r="G48" s="2"/>
      <c r="H48" s="10" t="s">
        <v>200</v>
      </c>
      <c r="I48" s="9" t="s">
        <v>303</v>
      </c>
      <c r="J48" s="2">
        <v>172</v>
      </c>
      <c r="K48" s="2" t="s">
        <v>917</v>
      </c>
      <c r="L48" s="2">
        <v>610.95500000000004</v>
      </c>
      <c r="M48" s="22" t="s">
        <v>353</v>
      </c>
      <c r="N48" s="22"/>
      <c r="O48" s="2">
        <v>50</v>
      </c>
      <c r="P48" s="2"/>
      <c r="Q48" s="2"/>
      <c r="R48" s="1">
        <v>2</v>
      </c>
      <c r="S48" s="1">
        <v>2</v>
      </c>
      <c r="T48" s="1"/>
      <c r="U48" s="18" t="s">
        <v>13</v>
      </c>
      <c r="V48" s="18">
        <v>4</v>
      </c>
      <c r="W48" s="1" t="s">
        <v>364</v>
      </c>
      <c r="X48" s="26"/>
      <c r="Y48" s="22">
        <f t="shared" si="1"/>
        <v>100</v>
      </c>
      <c r="Z48" s="26"/>
      <c r="AA48" s="20" t="s">
        <v>354</v>
      </c>
      <c r="AB48" s="11" t="s">
        <v>564</v>
      </c>
    </row>
    <row r="49" spans="1:28" s="12" customFormat="1" ht="29.25" customHeight="1">
      <c r="A49" s="26"/>
      <c r="B49" s="2" t="s">
        <v>420</v>
      </c>
      <c r="C49" s="2" t="s">
        <v>176</v>
      </c>
      <c r="D49" s="2" t="s">
        <v>565</v>
      </c>
      <c r="E49" s="2"/>
      <c r="F49" s="2"/>
      <c r="G49" s="2"/>
      <c r="H49" s="10" t="s">
        <v>200</v>
      </c>
      <c r="I49" s="9" t="s">
        <v>303</v>
      </c>
      <c r="J49" s="2">
        <v>136</v>
      </c>
      <c r="K49" s="2" t="s">
        <v>556</v>
      </c>
      <c r="L49" s="2">
        <v>610.95500000000004</v>
      </c>
      <c r="M49" s="22" t="s">
        <v>353</v>
      </c>
      <c r="N49" s="22"/>
      <c r="O49" s="2">
        <v>40</v>
      </c>
      <c r="P49" s="2"/>
      <c r="Q49" s="2"/>
      <c r="R49" s="1">
        <v>1</v>
      </c>
      <c r="S49" s="1">
        <v>1</v>
      </c>
      <c r="T49" s="1"/>
      <c r="U49" s="18" t="s">
        <v>13</v>
      </c>
      <c r="V49" s="18">
        <v>4</v>
      </c>
      <c r="W49" s="1" t="s">
        <v>364</v>
      </c>
      <c r="X49" s="26"/>
      <c r="Y49" s="22">
        <f t="shared" si="1"/>
        <v>40</v>
      </c>
      <c r="Z49" s="26"/>
      <c r="AA49" s="20" t="s">
        <v>354</v>
      </c>
      <c r="AB49" s="11" t="s">
        <v>566</v>
      </c>
    </row>
    <row r="50" spans="1:28" s="12" customFormat="1" ht="29.25" customHeight="1">
      <c r="A50" s="26"/>
      <c r="B50" s="2" t="s">
        <v>421</v>
      </c>
      <c r="C50" s="2" t="s">
        <v>191</v>
      </c>
      <c r="D50" s="2"/>
      <c r="E50" s="2"/>
      <c r="F50" s="2"/>
      <c r="G50" s="2"/>
      <c r="H50" s="10" t="s">
        <v>200</v>
      </c>
      <c r="I50" s="9" t="s">
        <v>303</v>
      </c>
      <c r="J50" s="2">
        <v>206</v>
      </c>
      <c r="K50" s="2" t="s">
        <v>352</v>
      </c>
      <c r="L50" s="2"/>
      <c r="M50" s="22" t="s">
        <v>353</v>
      </c>
      <c r="N50" s="22"/>
      <c r="O50" s="2">
        <v>110</v>
      </c>
      <c r="P50" s="2"/>
      <c r="Q50" s="2"/>
      <c r="R50" s="1">
        <v>6</v>
      </c>
      <c r="S50" s="1">
        <v>6</v>
      </c>
      <c r="T50" s="1"/>
      <c r="U50" s="18" t="s">
        <v>13</v>
      </c>
      <c r="V50" s="18">
        <v>5</v>
      </c>
      <c r="W50" s="1" t="s">
        <v>364</v>
      </c>
      <c r="X50" s="26"/>
      <c r="Y50" s="22">
        <f t="shared" si="1"/>
        <v>660</v>
      </c>
      <c r="Z50" s="26"/>
      <c r="AA50" s="20" t="s">
        <v>354</v>
      </c>
      <c r="AB50" s="11"/>
    </row>
    <row r="51" spans="1:28" s="12" customFormat="1" ht="29.25" customHeight="1">
      <c r="A51" s="26"/>
      <c r="B51" s="2" t="s">
        <v>241</v>
      </c>
      <c r="C51" s="2" t="s">
        <v>251</v>
      </c>
      <c r="D51" s="2"/>
      <c r="E51" s="2"/>
      <c r="F51" s="2"/>
      <c r="G51" s="2"/>
      <c r="H51" s="10" t="s">
        <v>200</v>
      </c>
      <c r="I51" s="9" t="s">
        <v>303</v>
      </c>
      <c r="J51" s="2">
        <v>272</v>
      </c>
      <c r="K51" s="2" t="s">
        <v>352</v>
      </c>
      <c r="L51" s="2">
        <v>362.2</v>
      </c>
      <c r="M51" s="22" t="s">
        <v>353</v>
      </c>
      <c r="N51" s="22"/>
      <c r="O51" s="2">
        <v>140</v>
      </c>
      <c r="P51" s="2"/>
      <c r="Q51" s="2"/>
      <c r="R51" s="13">
        <v>1</v>
      </c>
      <c r="S51" s="13">
        <v>1</v>
      </c>
      <c r="T51" s="13"/>
      <c r="U51" s="18" t="s">
        <v>13</v>
      </c>
      <c r="V51" s="18">
        <v>5</v>
      </c>
      <c r="W51" s="1" t="s">
        <v>364</v>
      </c>
      <c r="X51" s="26"/>
      <c r="Y51" s="22">
        <f t="shared" si="1"/>
        <v>140</v>
      </c>
      <c r="Z51" s="26"/>
      <c r="AA51" s="20" t="s">
        <v>354</v>
      </c>
      <c r="AB51" s="11"/>
    </row>
    <row r="52" spans="1:28" s="12" customFormat="1" ht="29.25" customHeight="1">
      <c r="A52" s="26"/>
      <c r="B52" s="2" t="s">
        <v>422</v>
      </c>
      <c r="C52" s="2" t="s">
        <v>240</v>
      </c>
      <c r="D52" s="2"/>
      <c r="E52" s="2"/>
      <c r="F52" s="2"/>
      <c r="G52" s="2"/>
      <c r="H52" s="10" t="s">
        <v>200</v>
      </c>
      <c r="I52" s="9" t="s">
        <v>303</v>
      </c>
      <c r="J52" s="2">
        <v>187</v>
      </c>
      <c r="K52" s="2" t="s">
        <v>352</v>
      </c>
      <c r="L52" s="2"/>
      <c r="M52" s="22" t="s">
        <v>353</v>
      </c>
      <c r="N52" s="22"/>
      <c r="O52" s="2">
        <v>100</v>
      </c>
      <c r="P52" s="2"/>
      <c r="Q52" s="2"/>
      <c r="R52" s="1">
        <v>1</v>
      </c>
      <c r="S52" s="1">
        <v>1</v>
      </c>
      <c r="T52" s="1"/>
      <c r="U52" s="18" t="s">
        <v>13</v>
      </c>
      <c r="V52" s="18">
        <v>5</v>
      </c>
      <c r="W52" s="1" t="s">
        <v>364</v>
      </c>
      <c r="X52" s="26"/>
      <c r="Y52" s="22">
        <f t="shared" si="1"/>
        <v>100</v>
      </c>
      <c r="Z52" s="26"/>
      <c r="AA52" s="20" t="s">
        <v>354</v>
      </c>
      <c r="AB52" s="11"/>
    </row>
    <row r="53" spans="1:28" s="12" customFormat="1" ht="29.25" customHeight="1">
      <c r="A53" s="26"/>
      <c r="B53" s="2" t="s">
        <v>423</v>
      </c>
      <c r="C53" s="2" t="s">
        <v>6</v>
      </c>
      <c r="D53" s="2"/>
      <c r="E53" s="2"/>
      <c r="F53" s="2"/>
      <c r="G53" s="2"/>
      <c r="H53" s="10" t="s">
        <v>200</v>
      </c>
      <c r="I53" s="9" t="s">
        <v>303</v>
      </c>
      <c r="J53" s="2">
        <v>400</v>
      </c>
      <c r="K53" s="2" t="s">
        <v>352</v>
      </c>
      <c r="L53" s="2">
        <v>306.46100000000001</v>
      </c>
      <c r="M53" s="22" t="s">
        <v>353</v>
      </c>
      <c r="N53" s="22"/>
      <c r="O53" s="2">
        <v>210</v>
      </c>
      <c r="P53" s="2"/>
      <c r="Q53" s="2"/>
      <c r="R53" s="1">
        <v>5</v>
      </c>
      <c r="S53" s="1">
        <v>5</v>
      </c>
      <c r="T53" s="1"/>
      <c r="U53" s="18" t="s">
        <v>13</v>
      </c>
      <c r="V53" s="18">
        <v>5</v>
      </c>
      <c r="W53" s="1" t="s">
        <v>364</v>
      </c>
      <c r="X53" s="26"/>
      <c r="Y53" s="22">
        <f t="shared" si="1"/>
        <v>1050</v>
      </c>
      <c r="Z53" s="26"/>
      <c r="AA53" s="20" t="s">
        <v>354</v>
      </c>
      <c r="AB53" s="11" t="s">
        <v>567</v>
      </c>
    </row>
    <row r="54" spans="1:28" s="12" customFormat="1" ht="29.25" customHeight="1">
      <c r="A54" s="26"/>
      <c r="B54" s="2" t="s">
        <v>424</v>
      </c>
      <c r="C54" s="2" t="s">
        <v>144</v>
      </c>
      <c r="D54" s="2" t="s">
        <v>273</v>
      </c>
      <c r="E54" s="2"/>
      <c r="F54" s="2"/>
      <c r="G54" s="2"/>
      <c r="H54" s="10" t="s">
        <v>200</v>
      </c>
      <c r="I54" s="9" t="s">
        <v>303</v>
      </c>
      <c r="J54" s="2">
        <v>95</v>
      </c>
      <c r="K54" s="2" t="s">
        <v>352</v>
      </c>
      <c r="L54" s="2"/>
      <c r="M54" s="22" t="s">
        <v>353</v>
      </c>
      <c r="N54" s="22"/>
      <c r="O54" s="2">
        <v>30</v>
      </c>
      <c r="P54" s="2"/>
      <c r="Q54" s="2"/>
      <c r="R54" s="1">
        <v>5</v>
      </c>
      <c r="S54" s="1">
        <v>5</v>
      </c>
      <c r="T54" s="1"/>
      <c r="U54" s="18" t="s">
        <v>13</v>
      </c>
      <c r="V54" s="18">
        <v>5</v>
      </c>
      <c r="W54" s="1" t="s">
        <v>364</v>
      </c>
      <c r="X54" s="26"/>
      <c r="Y54" s="22">
        <f t="shared" si="1"/>
        <v>150</v>
      </c>
      <c r="Z54" s="26"/>
      <c r="AA54" s="20" t="s">
        <v>354</v>
      </c>
      <c r="AB54" s="11" t="s">
        <v>568</v>
      </c>
    </row>
    <row r="55" spans="1:28" s="12" customFormat="1" ht="29.25" customHeight="1">
      <c r="A55" s="26"/>
      <c r="B55" s="2" t="s">
        <v>425</v>
      </c>
      <c r="C55" s="2" t="s">
        <v>144</v>
      </c>
      <c r="D55" s="2" t="s">
        <v>273</v>
      </c>
      <c r="E55" s="2"/>
      <c r="F55" s="2"/>
      <c r="G55" s="2"/>
      <c r="H55" s="10" t="s">
        <v>200</v>
      </c>
      <c r="I55" s="9" t="s">
        <v>303</v>
      </c>
      <c r="J55" s="2">
        <v>107</v>
      </c>
      <c r="K55" s="2" t="s">
        <v>352</v>
      </c>
      <c r="L55" s="2"/>
      <c r="M55" s="22" t="s">
        <v>353</v>
      </c>
      <c r="N55" s="22"/>
      <c r="O55" s="2">
        <v>30</v>
      </c>
      <c r="P55" s="2"/>
      <c r="Q55" s="2"/>
      <c r="R55" s="1">
        <v>5</v>
      </c>
      <c r="S55" s="1">
        <v>5</v>
      </c>
      <c r="T55" s="1"/>
      <c r="U55" s="18" t="s">
        <v>13</v>
      </c>
      <c r="V55" s="18">
        <v>5</v>
      </c>
      <c r="W55" s="1" t="s">
        <v>364</v>
      </c>
      <c r="X55" s="26"/>
      <c r="Y55" s="22">
        <f t="shared" si="1"/>
        <v>150</v>
      </c>
      <c r="Z55" s="26"/>
      <c r="AA55" s="20" t="s">
        <v>354</v>
      </c>
      <c r="AB55" s="11" t="s">
        <v>569</v>
      </c>
    </row>
    <row r="56" spans="1:28" s="12" customFormat="1" ht="29.25" customHeight="1">
      <c r="A56" s="26"/>
      <c r="B56" s="2" t="s">
        <v>426</v>
      </c>
      <c r="C56" s="2" t="s">
        <v>291</v>
      </c>
      <c r="D56" s="2"/>
      <c r="E56" s="2"/>
      <c r="F56" s="2"/>
      <c r="G56" s="2"/>
      <c r="H56" s="10" t="s">
        <v>200</v>
      </c>
      <c r="I56" s="9" t="s">
        <v>303</v>
      </c>
      <c r="J56" s="2">
        <v>128</v>
      </c>
      <c r="K56" s="2" t="s">
        <v>352</v>
      </c>
      <c r="L56" s="2">
        <v>616.5</v>
      </c>
      <c r="M56" s="22" t="s">
        <v>353</v>
      </c>
      <c r="N56" s="22"/>
      <c r="O56" s="2">
        <v>70</v>
      </c>
      <c r="P56" s="2"/>
      <c r="Q56" s="2"/>
      <c r="R56" s="13">
        <v>1</v>
      </c>
      <c r="S56" s="13">
        <v>1</v>
      </c>
      <c r="T56" s="13"/>
      <c r="U56" s="18" t="s">
        <v>13</v>
      </c>
      <c r="V56" s="18">
        <v>5</v>
      </c>
      <c r="W56" s="1" t="s">
        <v>364</v>
      </c>
      <c r="X56" s="26"/>
      <c r="Y56" s="22">
        <f t="shared" si="1"/>
        <v>70</v>
      </c>
      <c r="Z56" s="26"/>
      <c r="AA56" s="20" t="s">
        <v>354</v>
      </c>
      <c r="AB56" s="11" t="s">
        <v>570</v>
      </c>
    </row>
    <row r="57" spans="1:28" s="12" customFormat="1" ht="29.25" customHeight="1">
      <c r="A57" s="26"/>
      <c r="B57" s="2" t="s">
        <v>152</v>
      </c>
      <c r="C57" s="2" t="s">
        <v>151</v>
      </c>
      <c r="D57" s="2" t="s">
        <v>273</v>
      </c>
      <c r="E57" s="2"/>
      <c r="F57" s="2"/>
      <c r="G57" s="2"/>
      <c r="H57" s="10" t="s">
        <v>200</v>
      </c>
      <c r="I57" s="9" t="s">
        <v>303</v>
      </c>
      <c r="J57" s="2">
        <v>88</v>
      </c>
      <c r="K57" s="2" t="s">
        <v>352</v>
      </c>
      <c r="L57" s="2"/>
      <c r="M57" s="22" t="s">
        <v>353</v>
      </c>
      <c r="N57" s="22"/>
      <c r="O57" s="2">
        <v>30</v>
      </c>
      <c r="P57" s="2"/>
      <c r="Q57" s="2"/>
      <c r="R57" s="1">
        <v>5</v>
      </c>
      <c r="S57" s="1">
        <v>5</v>
      </c>
      <c r="T57" s="1"/>
      <c r="U57" s="18" t="s">
        <v>13</v>
      </c>
      <c r="V57" s="18">
        <v>5</v>
      </c>
      <c r="W57" s="1" t="s">
        <v>364</v>
      </c>
      <c r="X57" s="26"/>
      <c r="Y57" s="22">
        <f t="shared" si="1"/>
        <v>150</v>
      </c>
      <c r="Z57" s="26"/>
      <c r="AA57" s="20" t="s">
        <v>354</v>
      </c>
      <c r="AB57" s="11" t="s">
        <v>571</v>
      </c>
    </row>
    <row r="58" spans="1:28" s="12" customFormat="1" ht="29.25" customHeight="1">
      <c r="A58" s="26"/>
      <c r="B58" s="2" t="s">
        <v>427</v>
      </c>
      <c r="C58" s="2" t="s">
        <v>60</v>
      </c>
      <c r="D58" s="2" t="s">
        <v>572</v>
      </c>
      <c r="E58" s="2"/>
      <c r="F58" s="2"/>
      <c r="G58" s="2"/>
      <c r="H58" s="10" t="s">
        <v>200</v>
      </c>
      <c r="I58" s="9" t="s">
        <v>303</v>
      </c>
      <c r="J58" s="2">
        <v>140</v>
      </c>
      <c r="K58" s="2" t="s">
        <v>352</v>
      </c>
      <c r="L58" s="2"/>
      <c r="M58" s="22" t="s">
        <v>353</v>
      </c>
      <c r="N58" s="22"/>
      <c r="O58" s="2">
        <v>40</v>
      </c>
      <c r="P58" s="2"/>
      <c r="Q58" s="2"/>
      <c r="R58" s="13">
        <v>5</v>
      </c>
      <c r="S58" s="13">
        <v>5</v>
      </c>
      <c r="T58" s="13"/>
      <c r="U58" s="18" t="s">
        <v>13</v>
      </c>
      <c r="V58" s="18">
        <v>5</v>
      </c>
      <c r="W58" s="1" t="s">
        <v>364</v>
      </c>
      <c r="X58" s="26"/>
      <c r="Y58" s="22">
        <f t="shared" si="1"/>
        <v>200</v>
      </c>
      <c r="Z58" s="26"/>
      <c r="AA58" s="20" t="s">
        <v>354</v>
      </c>
      <c r="AB58" s="11" t="s">
        <v>573</v>
      </c>
    </row>
    <row r="59" spans="1:28" s="12" customFormat="1" ht="29.25" customHeight="1">
      <c r="A59" s="26"/>
      <c r="B59" s="2" t="s">
        <v>428</v>
      </c>
      <c r="C59" s="2" t="s">
        <v>144</v>
      </c>
      <c r="D59" s="2" t="s">
        <v>273</v>
      </c>
      <c r="E59" s="2"/>
      <c r="F59" s="2"/>
      <c r="G59" s="2"/>
      <c r="H59" s="10" t="s">
        <v>200</v>
      </c>
      <c r="I59" s="9" t="s">
        <v>303</v>
      </c>
      <c r="J59" s="2">
        <v>80</v>
      </c>
      <c r="K59" s="2" t="s">
        <v>352</v>
      </c>
      <c r="L59" s="2"/>
      <c r="M59" s="22" t="s">
        <v>353</v>
      </c>
      <c r="N59" s="22"/>
      <c r="O59" s="2">
        <v>25</v>
      </c>
      <c r="P59" s="2"/>
      <c r="Q59" s="2"/>
      <c r="R59" s="1">
        <v>5</v>
      </c>
      <c r="S59" s="1">
        <v>5</v>
      </c>
      <c r="T59" s="1"/>
      <c r="U59" s="18" t="s">
        <v>13</v>
      </c>
      <c r="V59" s="18">
        <v>5</v>
      </c>
      <c r="W59" s="1" t="s">
        <v>364</v>
      </c>
      <c r="X59" s="26"/>
      <c r="Y59" s="22">
        <f t="shared" si="1"/>
        <v>125</v>
      </c>
      <c r="Z59" s="26"/>
      <c r="AA59" s="20" t="s">
        <v>354</v>
      </c>
      <c r="AB59" s="11" t="s">
        <v>574</v>
      </c>
    </row>
    <row r="60" spans="1:28" s="12" customFormat="1" ht="29.25" customHeight="1">
      <c r="A60" s="26"/>
      <c r="B60" s="2" t="s">
        <v>429</v>
      </c>
      <c r="C60" s="2" t="s">
        <v>133</v>
      </c>
      <c r="D60" s="2" t="s">
        <v>575</v>
      </c>
      <c r="E60" s="2"/>
      <c r="F60" s="2"/>
      <c r="G60" s="2"/>
      <c r="H60" s="10" t="s">
        <v>200</v>
      </c>
      <c r="I60" s="9" t="s">
        <v>303</v>
      </c>
      <c r="J60" s="2">
        <v>100</v>
      </c>
      <c r="K60" s="2" t="s">
        <v>352</v>
      </c>
      <c r="L60" s="2"/>
      <c r="M60" s="22" t="s">
        <v>353</v>
      </c>
      <c r="N60" s="22"/>
      <c r="O60" s="2">
        <v>55</v>
      </c>
      <c r="P60" s="2"/>
      <c r="Q60" s="2"/>
      <c r="R60" s="1">
        <v>1</v>
      </c>
      <c r="S60" s="1">
        <v>1</v>
      </c>
      <c r="T60" s="1"/>
      <c r="U60" s="18" t="s">
        <v>13</v>
      </c>
      <c r="V60" s="18">
        <v>5</v>
      </c>
      <c r="W60" s="1" t="s">
        <v>364</v>
      </c>
      <c r="X60" s="26"/>
      <c r="Y60" s="22">
        <f t="shared" si="1"/>
        <v>55</v>
      </c>
      <c r="Z60" s="26"/>
      <c r="AA60" s="20" t="s">
        <v>354</v>
      </c>
      <c r="AB60" s="11" t="s">
        <v>576</v>
      </c>
    </row>
    <row r="61" spans="1:28" s="12" customFormat="1" ht="29.25" customHeight="1">
      <c r="A61" s="26"/>
      <c r="B61" s="2" t="s">
        <v>252</v>
      </c>
      <c r="C61" s="2" t="s">
        <v>253</v>
      </c>
      <c r="D61" s="2" t="s">
        <v>577</v>
      </c>
      <c r="E61" s="2"/>
      <c r="F61" s="2"/>
      <c r="G61" s="2"/>
      <c r="H61" s="10" t="s">
        <v>200</v>
      </c>
      <c r="I61" s="9" t="s">
        <v>303</v>
      </c>
      <c r="J61" s="2">
        <v>50</v>
      </c>
      <c r="K61" s="2" t="s">
        <v>352</v>
      </c>
      <c r="L61" s="2"/>
      <c r="M61" s="22" t="s">
        <v>353</v>
      </c>
      <c r="N61" s="22"/>
      <c r="O61" s="2">
        <v>30</v>
      </c>
      <c r="P61" s="2"/>
      <c r="Q61" s="2"/>
      <c r="R61" s="1">
        <v>1</v>
      </c>
      <c r="S61" s="1">
        <v>1</v>
      </c>
      <c r="T61" s="1"/>
      <c r="U61" s="18" t="s">
        <v>13</v>
      </c>
      <c r="V61" s="18">
        <v>5</v>
      </c>
      <c r="W61" s="1" t="s">
        <v>364</v>
      </c>
      <c r="X61" s="26"/>
      <c r="Y61" s="22">
        <f t="shared" si="1"/>
        <v>30</v>
      </c>
      <c r="Z61" s="26"/>
      <c r="AA61" s="20" t="s">
        <v>354</v>
      </c>
      <c r="AB61" s="11" t="s">
        <v>578</v>
      </c>
    </row>
    <row r="62" spans="1:28" s="12" customFormat="1" ht="29.25" customHeight="1">
      <c r="A62" s="26"/>
      <c r="B62" s="2" t="s">
        <v>430</v>
      </c>
      <c r="C62" s="2" t="s">
        <v>23</v>
      </c>
      <c r="D62" s="2"/>
      <c r="E62" s="2"/>
      <c r="F62" s="2"/>
      <c r="G62" s="2"/>
      <c r="H62" s="10" t="s">
        <v>200</v>
      </c>
      <c r="I62" s="9" t="s">
        <v>303</v>
      </c>
      <c r="J62" s="2">
        <v>240</v>
      </c>
      <c r="K62" s="2" t="s">
        <v>352</v>
      </c>
      <c r="L62" s="2"/>
      <c r="M62" s="22" t="s">
        <v>353</v>
      </c>
      <c r="N62" s="22"/>
      <c r="O62" s="2">
        <v>65</v>
      </c>
      <c r="P62" s="2"/>
      <c r="Q62" s="2"/>
      <c r="R62" s="1">
        <v>1</v>
      </c>
      <c r="S62" s="1">
        <v>1</v>
      </c>
      <c r="T62" s="1"/>
      <c r="U62" s="18" t="s">
        <v>13</v>
      </c>
      <c r="V62" s="18">
        <v>5</v>
      </c>
      <c r="W62" s="1" t="s">
        <v>364</v>
      </c>
      <c r="X62" s="26"/>
      <c r="Y62" s="22">
        <f t="shared" si="1"/>
        <v>65</v>
      </c>
      <c r="Z62" s="26"/>
      <c r="AA62" s="20" t="s">
        <v>354</v>
      </c>
      <c r="AB62" s="11"/>
    </row>
    <row r="63" spans="1:28" s="12" customFormat="1" ht="29.25" customHeight="1">
      <c r="A63" s="26"/>
      <c r="B63" s="2" t="s">
        <v>431</v>
      </c>
      <c r="C63" s="2" t="s">
        <v>84</v>
      </c>
      <c r="D63" s="2" t="s">
        <v>579</v>
      </c>
      <c r="E63" s="2"/>
      <c r="F63" s="2"/>
      <c r="G63" s="2"/>
      <c r="H63" s="10" t="s">
        <v>200</v>
      </c>
      <c r="I63" s="9" t="s">
        <v>303</v>
      </c>
      <c r="J63" s="2">
        <v>512</v>
      </c>
      <c r="K63" s="2" t="s">
        <v>352</v>
      </c>
      <c r="L63" s="2"/>
      <c r="M63" s="22" t="s">
        <v>353</v>
      </c>
      <c r="N63" s="22"/>
      <c r="O63" s="2">
        <v>250</v>
      </c>
      <c r="P63" s="2"/>
      <c r="Q63" s="2"/>
      <c r="R63" s="1">
        <v>2</v>
      </c>
      <c r="S63" s="1">
        <v>2</v>
      </c>
      <c r="T63" s="1"/>
      <c r="U63" s="18" t="s">
        <v>13</v>
      </c>
      <c r="V63" s="18">
        <v>5</v>
      </c>
      <c r="W63" s="1" t="s">
        <v>364</v>
      </c>
      <c r="X63" s="26"/>
      <c r="Y63" s="22">
        <f t="shared" si="1"/>
        <v>500</v>
      </c>
      <c r="Z63" s="26"/>
      <c r="AA63" s="20" t="s">
        <v>354</v>
      </c>
      <c r="AB63" s="11"/>
    </row>
    <row r="64" spans="1:28" s="12" customFormat="1" ht="29.25" customHeight="1">
      <c r="A64" s="26"/>
      <c r="B64" s="2" t="s">
        <v>317</v>
      </c>
      <c r="C64" s="2" t="s">
        <v>318</v>
      </c>
      <c r="D64" s="2"/>
      <c r="E64" s="2"/>
      <c r="F64" s="2"/>
      <c r="G64" s="2"/>
      <c r="H64" s="10" t="s">
        <v>200</v>
      </c>
      <c r="I64" s="9" t="s">
        <v>303</v>
      </c>
      <c r="J64" s="2">
        <v>300</v>
      </c>
      <c r="K64" s="2" t="s">
        <v>352</v>
      </c>
      <c r="L64" s="2"/>
      <c r="M64" s="22" t="s">
        <v>353</v>
      </c>
      <c r="N64" s="22"/>
      <c r="O64" s="2">
        <v>80</v>
      </c>
      <c r="P64" s="2"/>
      <c r="Q64" s="2"/>
      <c r="R64" s="1">
        <v>1</v>
      </c>
      <c r="S64" s="1">
        <v>1</v>
      </c>
      <c r="T64" s="1"/>
      <c r="U64" s="18" t="s">
        <v>13</v>
      </c>
      <c r="V64" s="18">
        <v>5</v>
      </c>
      <c r="W64" s="1" t="s">
        <v>364</v>
      </c>
      <c r="X64" s="26"/>
      <c r="Y64" s="22">
        <f t="shared" si="1"/>
        <v>80</v>
      </c>
      <c r="Z64" s="26"/>
      <c r="AA64" s="20" t="s">
        <v>354</v>
      </c>
      <c r="AB64" s="11"/>
    </row>
    <row r="65" spans="1:28" s="12" customFormat="1" ht="29.25" customHeight="1">
      <c r="A65" s="26"/>
      <c r="B65" s="2" t="s">
        <v>254</v>
      </c>
      <c r="C65" s="2" t="s">
        <v>255</v>
      </c>
      <c r="D65" s="2"/>
      <c r="E65" s="2"/>
      <c r="F65" s="2"/>
      <c r="G65" s="2"/>
      <c r="H65" s="10" t="s">
        <v>200</v>
      </c>
      <c r="I65" s="9" t="s">
        <v>303</v>
      </c>
      <c r="J65" s="2">
        <v>190</v>
      </c>
      <c r="K65" s="2" t="s">
        <v>352</v>
      </c>
      <c r="L65" s="2"/>
      <c r="M65" s="22" t="s">
        <v>353</v>
      </c>
      <c r="N65" s="22"/>
      <c r="O65" s="2">
        <v>90</v>
      </c>
      <c r="P65" s="2"/>
      <c r="Q65" s="2"/>
      <c r="R65" s="1">
        <v>1</v>
      </c>
      <c r="S65" s="1">
        <v>1</v>
      </c>
      <c r="T65" s="1"/>
      <c r="U65" s="18" t="s">
        <v>13</v>
      </c>
      <c r="V65" s="18">
        <v>5</v>
      </c>
      <c r="W65" s="1" t="s">
        <v>364</v>
      </c>
      <c r="X65" s="26"/>
      <c r="Y65" s="22">
        <f t="shared" si="1"/>
        <v>90</v>
      </c>
      <c r="Z65" s="26"/>
      <c r="AA65" s="20" t="s">
        <v>354</v>
      </c>
      <c r="AB65" s="11"/>
    </row>
    <row r="66" spans="1:28" s="12" customFormat="1" ht="29.25" customHeight="1">
      <c r="A66" s="26"/>
      <c r="B66" s="2" t="s">
        <v>432</v>
      </c>
      <c r="C66" s="2" t="s">
        <v>144</v>
      </c>
      <c r="D66" s="2" t="s">
        <v>580</v>
      </c>
      <c r="E66" s="2"/>
      <c r="F66" s="2"/>
      <c r="G66" s="2"/>
      <c r="H66" s="10" t="s">
        <v>200</v>
      </c>
      <c r="I66" s="9" t="s">
        <v>303</v>
      </c>
      <c r="J66" s="2">
        <v>176</v>
      </c>
      <c r="K66" s="2" t="s">
        <v>352</v>
      </c>
      <c r="L66" s="2"/>
      <c r="M66" s="22" t="s">
        <v>353</v>
      </c>
      <c r="N66" s="22"/>
      <c r="O66" s="2">
        <v>50</v>
      </c>
      <c r="P66" s="2"/>
      <c r="Q66" s="2"/>
      <c r="R66" s="1">
        <v>5</v>
      </c>
      <c r="S66" s="1">
        <v>5</v>
      </c>
      <c r="T66" s="1"/>
      <c r="U66" s="18" t="s">
        <v>13</v>
      </c>
      <c r="V66" s="18">
        <v>5</v>
      </c>
      <c r="W66" s="1" t="s">
        <v>364</v>
      </c>
      <c r="X66" s="26"/>
      <c r="Y66" s="22">
        <f t="shared" ref="Y66:Y101" si="2">O66*R66</f>
        <v>250</v>
      </c>
      <c r="Z66" s="26"/>
      <c r="AA66" s="20" t="s">
        <v>354</v>
      </c>
      <c r="AB66" s="11"/>
    </row>
    <row r="67" spans="1:28" s="12" customFormat="1" ht="29.25" customHeight="1">
      <c r="A67" s="26"/>
      <c r="B67" s="2" t="s">
        <v>433</v>
      </c>
      <c r="C67" s="2" t="s">
        <v>144</v>
      </c>
      <c r="D67" s="2" t="s">
        <v>273</v>
      </c>
      <c r="E67" s="2"/>
      <c r="F67" s="2"/>
      <c r="G67" s="2"/>
      <c r="H67" s="10" t="s">
        <v>200</v>
      </c>
      <c r="I67" s="9" t="s">
        <v>303</v>
      </c>
      <c r="J67" s="2">
        <v>92</v>
      </c>
      <c r="K67" s="2" t="s">
        <v>352</v>
      </c>
      <c r="L67" s="2"/>
      <c r="M67" s="22" t="s">
        <v>353</v>
      </c>
      <c r="N67" s="22"/>
      <c r="O67" s="2">
        <v>30</v>
      </c>
      <c r="P67" s="2"/>
      <c r="Q67" s="2"/>
      <c r="R67" s="1">
        <v>5</v>
      </c>
      <c r="S67" s="1">
        <v>5</v>
      </c>
      <c r="T67" s="1"/>
      <c r="U67" s="18" t="s">
        <v>13</v>
      </c>
      <c r="V67" s="18">
        <v>5</v>
      </c>
      <c r="W67" s="1" t="s">
        <v>364</v>
      </c>
      <c r="X67" s="26"/>
      <c r="Y67" s="22">
        <f t="shared" si="2"/>
        <v>150</v>
      </c>
      <c r="Z67" s="26"/>
      <c r="AA67" s="20" t="s">
        <v>354</v>
      </c>
      <c r="AB67" s="11"/>
    </row>
    <row r="68" spans="1:28" s="12" customFormat="1" ht="29.25" customHeight="1">
      <c r="A68" s="26"/>
      <c r="B68" s="2" t="s">
        <v>434</v>
      </c>
      <c r="C68" s="2" t="s">
        <v>144</v>
      </c>
      <c r="D68" s="2" t="s">
        <v>273</v>
      </c>
      <c r="E68" s="2"/>
      <c r="F68" s="2"/>
      <c r="G68" s="2"/>
      <c r="H68" s="10" t="s">
        <v>200</v>
      </c>
      <c r="I68" s="9" t="s">
        <v>303</v>
      </c>
      <c r="J68" s="2">
        <v>100</v>
      </c>
      <c r="K68" s="2" t="s">
        <v>352</v>
      </c>
      <c r="L68" s="2"/>
      <c r="M68" s="22" t="s">
        <v>353</v>
      </c>
      <c r="N68" s="22"/>
      <c r="O68" s="2">
        <v>30</v>
      </c>
      <c r="P68" s="2"/>
      <c r="Q68" s="2"/>
      <c r="R68" s="1">
        <v>5</v>
      </c>
      <c r="S68" s="1">
        <v>5</v>
      </c>
      <c r="T68" s="1"/>
      <c r="U68" s="18" t="s">
        <v>13</v>
      </c>
      <c r="V68" s="18">
        <v>5</v>
      </c>
      <c r="W68" s="1" t="s">
        <v>364</v>
      </c>
      <c r="X68" s="26"/>
      <c r="Y68" s="22">
        <f t="shared" si="2"/>
        <v>150</v>
      </c>
      <c r="Z68" s="26"/>
      <c r="AA68" s="20" t="s">
        <v>354</v>
      </c>
      <c r="AB68" s="11" t="s">
        <v>581</v>
      </c>
    </row>
    <row r="69" spans="1:28" s="12" customFormat="1" ht="29.25" customHeight="1">
      <c r="A69" s="26"/>
      <c r="B69" s="2" t="s">
        <v>435</v>
      </c>
      <c r="C69" s="2" t="s">
        <v>144</v>
      </c>
      <c r="D69" s="2" t="s">
        <v>273</v>
      </c>
      <c r="E69" s="2"/>
      <c r="F69" s="2"/>
      <c r="G69" s="2"/>
      <c r="H69" s="10" t="s">
        <v>200</v>
      </c>
      <c r="I69" s="9" t="s">
        <v>303</v>
      </c>
      <c r="J69" s="2">
        <v>160</v>
      </c>
      <c r="K69" s="2" t="s">
        <v>352</v>
      </c>
      <c r="L69" s="2"/>
      <c r="M69" s="22" t="s">
        <v>353</v>
      </c>
      <c r="N69" s="22"/>
      <c r="O69" s="2">
        <v>45</v>
      </c>
      <c r="P69" s="2"/>
      <c r="Q69" s="2"/>
      <c r="R69" s="13">
        <v>7</v>
      </c>
      <c r="S69" s="13">
        <v>7</v>
      </c>
      <c r="T69" s="13"/>
      <c r="U69" s="18" t="s">
        <v>13</v>
      </c>
      <c r="V69" s="18">
        <v>5</v>
      </c>
      <c r="W69" s="1" t="s">
        <v>364</v>
      </c>
      <c r="X69" s="26"/>
      <c r="Y69" s="22">
        <f t="shared" si="2"/>
        <v>315</v>
      </c>
      <c r="Z69" s="26"/>
      <c r="AA69" s="20" t="s">
        <v>354</v>
      </c>
      <c r="AB69" s="11" t="s">
        <v>582</v>
      </c>
    </row>
    <row r="70" spans="1:28" s="12" customFormat="1" ht="29.25" customHeight="1">
      <c r="A70" s="26"/>
      <c r="B70" s="2" t="s">
        <v>436</v>
      </c>
      <c r="C70" s="2" t="s">
        <v>144</v>
      </c>
      <c r="D70" s="2" t="s">
        <v>583</v>
      </c>
      <c r="E70" s="2"/>
      <c r="F70" s="2"/>
      <c r="G70" s="2"/>
      <c r="H70" s="10" t="s">
        <v>200</v>
      </c>
      <c r="I70" s="9" t="s">
        <v>303</v>
      </c>
      <c r="J70" s="2">
        <v>88</v>
      </c>
      <c r="K70" s="2" t="s">
        <v>352</v>
      </c>
      <c r="L70" s="2"/>
      <c r="M70" s="22" t="s">
        <v>353</v>
      </c>
      <c r="N70" s="22"/>
      <c r="O70" s="2">
        <v>25</v>
      </c>
      <c r="P70" s="2"/>
      <c r="Q70" s="2"/>
      <c r="R70" s="13">
        <v>5</v>
      </c>
      <c r="S70" s="13">
        <v>5</v>
      </c>
      <c r="T70" s="13"/>
      <c r="U70" s="18" t="s">
        <v>13</v>
      </c>
      <c r="V70" s="18">
        <v>5</v>
      </c>
      <c r="W70" s="1" t="s">
        <v>364</v>
      </c>
      <c r="X70" s="26"/>
      <c r="Y70" s="22">
        <f t="shared" si="2"/>
        <v>125</v>
      </c>
      <c r="Z70" s="26"/>
      <c r="AA70" s="20" t="s">
        <v>354</v>
      </c>
      <c r="AB70" s="11" t="s">
        <v>584</v>
      </c>
    </row>
    <row r="71" spans="1:28" s="12" customFormat="1" ht="29.25" customHeight="1">
      <c r="A71" s="26"/>
      <c r="B71" s="2" t="s">
        <v>437</v>
      </c>
      <c r="C71" s="2" t="s">
        <v>144</v>
      </c>
      <c r="D71" s="2" t="s">
        <v>273</v>
      </c>
      <c r="E71" s="2"/>
      <c r="F71" s="2"/>
      <c r="G71" s="2"/>
      <c r="H71" s="10" t="s">
        <v>200</v>
      </c>
      <c r="I71" s="9" t="s">
        <v>303</v>
      </c>
      <c r="J71" s="2">
        <v>70</v>
      </c>
      <c r="K71" s="2" t="s">
        <v>352</v>
      </c>
      <c r="L71" s="2"/>
      <c r="M71" s="22" t="s">
        <v>353</v>
      </c>
      <c r="N71" s="22"/>
      <c r="O71" s="2">
        <v>25</v>
      </c>
      <c r="P71" s="2"/>
      <c r="Q71" s="2"/>
      <c r="R71" s="13">
        <v>5</v>
      </c>
      <c r="S71" s="13">
        <v>5</v>
      </c>
      <c r="T71" s="13"/>
      <c r="U71" s="18" t="s">
        <v>13</v>
      </c>
      <c r="V71" s="18">
        <v>5</v>
      </c>
      <c r="W71" s="1" t="s">
        <v>364</v>
      </c>
      <c r="X71" s="26"/>
      <c r="Y71" s="22">
        <f t="shared" si="2"/>
        <v>125</v>
      </c>
      <c r="Z71" s="26"/>
      <c r="AA71" s="20" t="s">
        <v>354</v>
      </c>
      <c r="AB71" s="11" t="s">
        <v>585</v>
      </c>
    </row>
    <row r="72" spans="1:28" s="12" customFormat="1" ht="29.25" customHeight="1">
      <c r="A72" s="26"/>
      <c r="B72" s="2" t="s">
        <v>438</v>
      </c>
      <c r="C72" s="2" t="s">
        <v>144</v>
      </c>
      <c r="D72" s="2" t="s">
        <v>583</v>
      </c>
      <c r="E72" s="2"/>
      <c r="F72" s="2"/>
      <c r="G72" s="2"/>
      <c r="H72" s="10" t="s">
        <v>200</v>
      </c>
      <c r="I72" s="9" t="s">
        <v>303</v>
      </c>
      <c r="J72" s="2">
        <v>68</v>
      </c>
      <c r="K72" s="2" t="s">
        <v>352</v>
      </c>
      <c r="L72" s="2"/>
      <c r="M72" s="22" t="s">
        <v>353</v>
      </c>
      <c r="N72" s="22"/>
      <c r="O72" s="2">
        <v>20</v>
      </c>
      <c r="P72" s="2"/>
      <c r="Q72" s="2"/>
      <c r="R72" s="13">
        <v>6</v>
      </c>
      <c r="S72" s="13">
        <v>6</v>
      </c>
      <c r="T72" s="13"/>
      <c r="U72" s="18" t="s">
        <v>13</v>
      </c>
      <c r="V72" s="18">
        <v>5</v>
      </c>
      <c r="W72" s="1" t="s">
        <v>364</v>
      </c>
      <c r="X72" s="26"/>
      <c r="Y72" s="22">
        <f t="shared" si="2"/>
        <v>120</v>
      </c>
      <c r="Z72" s="26"/>
      <c r="AA72" s="20" t="s">
        <v>354</v>
      </c>
      <c r="AB72" s="11" t="s">
        <v>586</v>
      </c>
    </row>
    <row r="73" spans="1:28" s="12" customFormat="1" ht="29.25" customHeight="1">
      <c r="A73" s="26"/>
      <c r="B73" s="2" t="s">
        <v>439</v>
      </c>
      <c r="C73" s="2" t="s">
        <v>144</v>
      </c>
      <c r="D73" s="2" t="s">
        <v>273</v>
      </c>
      <c r="E73" s="2"/>
      <c r="F73" s="2"/>
      <c r="G73" s="2"/>
      <c r="H73" s="10" t="s">
        <v>200</v>
      </c>
      <c r="I73" s="9" t="s">
        <v>303</v>
      </c>
      <c r="J73" s="2">
        <v>100</v>
      </c>
      <c r="K73" s="2" t="s">
        <v>352</v>
      </c>
      <c r="L73" s="2"/>
      <c r="M73" s="22" t="s">
        <v>353</v>
      </c>
      <c r="N73" s="22"/>
      <c r="O73" s="2">
        <v>30</v>
      </c>
      <c r="P73" s="2"/>
      <c r="Q73" s="2"/>
      <c r="R73" s="13">
        <v>5</v>
      </c>
      <c r="S73" s="13">
        <v>5</v>
      </c>
      <c r="T73" s="13"/>
      <c r="U73" s="18" t="s">
        <v>13</v>
      </c>
      <c r="V73" s="18">
        <v>5</v>
      </c>
      <c r="W73" s="1" t="s">
        <v>364</v>
      </c>
      <c r="X73" s="26"/>
      <c r="Y73" s="22">
        <f t="shared" si="2"/>
        <v>150</v>
      </c>
      <c r="Z73" s="26"/>
      <c r="AA73" s="20" t="s">
        <v>354</v>
      </c>
      <c r="AB73" s="11" t="s">
        <v>587</v>
      </c>
    </row>
    <row r="74" spans="1:28" s="12" customFormat="1" ht="29.25" customHeight="1">
      <c r="A74" s="26"/>
      <c r="B74" s="2" t="s">
        <v>440</v>
      </c>
      <c r="C74" s="2" t="s">
        <v>144</v>
      </c>
      <c r="D74" s="2" t="s">
        <v>273</v>
      </c>
      <c r="E74" s="2"/>
      <c r="F74" s="2"/>
      <c r="G74" s="2"/>
      <c r="H74" s="10" t="s">
        <v>200</v>
      </c>
      <c r="I74" s="9" t="s">
        <v>303</v>
      </c>
      <c r="J74" s="2">
        <v>120</v>
      </c>
      <c r="K74" s="2" t="s">
        <v>352</v>
      </c>
      <c r="L74" s="2"/>
      <c r="M74" s="22" t="s">
        <v>353</v>
      </c>
      <c r="N74" s="22"/>
      <c r="O74" s="2">
        <v>35</v>
      </c>
      <c r="P74" s="2"/>
      <c r="Q74" s="2"/>
      <c r="R74" s="13">
        <v>5</v>
      </c>
      <c r="S74" s="13">
        <v>5</v>
      </c>
      <c r="T74" s="13"/>
      <c r="U74" s="18" t="s">
        <v>13</v>
      </c>
      <c r="V74" s="18">
        <v>5</v>
      </c>
      <c r="W74" s="1" t="s">
        <v>364</v>
      </c>
      <c r="X74" s="26"/>
      <c r="Y74" s="22">
        <f t="shared" si="2"/>
        <v>175</v>
      </c>
      <c r="Z74" s="26"/>
      <c r="AA74" s="20" t="s">
        <v>354</v>
      </c>
      <c r="AB74" s="11" t="s">
        <v>588</v>
      </c>
    </row>
    <row r="75" spans="1:28" s="12" customFormat="1" ht="29.25" customHeight="1">
      <c r="A75" s="26"/>
      <c r="B75" s="2" t="s">
        <v>441</v>
      </c>
      <c r="C75" s="2" t="s">
        <v>144</v>
      </c>
      <c r="D75" s="2" t="s">
        <v>273</v>
      </c>
      <c r="E75" s="2"/>
      <c r="F75" s="2"/>
      <c r="G75" s="2"/>
      <c r="H75" s="10" t="s">
        <v>200</v>
      </c>
      <c r="I75" s="9" t="s">
        <v>303</v>
      </c>
      <c r="J75" s="2">
        <v>60</v>
      </c>
      <c r="K75" s="2" t="s">
        <v>352</v>
      </c>
      <c r="L75" s="2"/>
      <c r="M75" s="22" t="s">
        <v>353</v>
      </c>
      <c r="N75" s="22"/>
      <c r="O75" s="2">
        <v>20</v>
      </c>
      <c r="P75" s="2"/>
      <c r="Q75" s="2"/>
      <c r="R75" s="13">
        <v>5</v>
      </c>
      <c r="S75" s="13">
        <v>5</v>
      </c>
      <c r="T75" s="13"/>
      <c r="U75" s="18" t="s">
        <v>13</v>
      </c>
      <c r="V75" s="18">
        <v>5</v>
      </c>
      <c r="W75" s="1" t="s">
        <v>364</v>
      </c>
      <c r="X75" s="26"/>
      <c r="Y75" s="22">
        <f t="shared" si="2"/>
        <v>100</v>
      </c>
      <c r="Z75" s="26"/>
      <c r="AA75" s="20" t="s">
        <v>354</v>
      </c>
      <c r="AB75" s="11" t="s">
        <v>589</v>
      </c>
    </row>
    <row r="76" spans="1:28" s="12" customFormat="1" ht="29.25" customHeight="1">
      <c r="A76" s="26"/>
      <c r="B76" s="2" t="s">
        <v>590</v>
      </c>
      <c r="C76" s="2" t="s">
        <v>164</v>
      </c>
      <c r="D76" s="2" t="s">
        <v>950</v>
      </c>
      <c r="E76" s="2"/>
      <c r="F76" s="2"/>
      <c r="G76" s="2"/>
      <c r="H76" s="10" t="s">
        <v>200</v>
      </c>
      <c r="I76" s="9" t="s">
        <v>303</v>
      </c>
      <c r="J76" s="2">
        <v>166</v>
      </c>
      <c r="K76" s="2" t="s">
        <v>352</v>
      </c>
      <c r="L76" s="2">
        <v>613.04240000000004</v>
      </c>
      <c r="M76" s="22" t="s">
        <v>353</v>
      </c>
      <c r="N76" s="22"/>
      <c r="O76" s="2">
        <v>45</v>
      </c>
      <c r="P76" s="2"/>
      <c r="Q76" s="2"/>
      <c r="R76" s="13">
        <v>2</v>
      </c>
      <c r="S76" s="13">
        <v>2</v>
      </c>
      <c r="T76" s="13"/>
      <c r="U76" s="18" t="s">
        <v>13</v>
      </c>
      <c r="V76" s="18">
        <v>5</v>
      </c>
      <c r="W76" s="1" t="s">
        <v>364</v>
      </c>
      <c r="X76" s="26"/>
      <c r="Y76" s="22">
        <f t="shared" si="2"/>
        <v>90</v>
      </c>
      <c r="Z76" s="26"/>
      <c r="AA76" s="20" t="s">
        <v>354</v>
      </c>
      <c r="AB76" s="11"/>
    </row>
    <row r="77" spans="1:28" s="12" customFormat="1" ht="29.25" customHeight="1">
      <c r="A77" s="26"/>
      <c r="B77" s="2" t="s">
        <v>215</v>
      </c>
      <c r="C77" s="2" t="s">
        <v>256</v>
      </c>
      <c r="D77" s="2"/>
      <c r="E77" s="2" t="s">
        <v>949</v>
      </c>
      <c r="F77" s="2" t="s">
        <v>940</v>
      </c>
      <c r="G77" s="25">
        <v>1389</v>
      </c>
      <c r="H77" s="2" t="s">
        <v>202</v>
      </c>
      <c r="I77" s="9" t="s">
        <v>303</v>
      </c>
      <c r="J77" s="2">
        <v>90</v>
      </c>
      <c r="K77" s="2" t="s">
        <v>625</v>
      </c>
      <c r="L77" s="2"/>
      <c r="M77" s="22" t="s">
        <v>626</v>
      </c>
      <c r="N77" s="22"/>
      <c r="O77" s="2">
        <v>15</v>
      </c>
      <c r="P77" s="2"/>
      <c r="Q77" s="2"/>
      <c r="R77" s="1">
        <v>1</v>
      </c>
      <c r="S77" s="1">
        <v>1</v>
      </c>
      <c r="T77" s="1"/>
      <c r="U77" s="18" t="s">
        <v>13</v>
      </c>
      <c r="V77" s="18">
        <v>6</v>
      </c>
      <c r="W77" s="1" t="s">
        <v>618</v>
      </c>
      <c r="X77" s="26"/>
      <c r="Y77" s="22">
        <f t="shared" si="2"/>
        <v>15</v>
      </c>
      <c r="Z77" s="26"/>
      <c r="AA77" s="20" t="s">
        <v>354</v>
      </c>
      <c r="AB77" s="11"/>
    </row>
    <row r="78" spans="1:28" s="12" customFormat="1" ht="29.25" customHeight="1">
      <c r="A78" s="26"/>
      <c r="B78" s="2" t="s">
        <v>309</v>
      </c>
      <c r="C78" s="2" t="s">
        <v>310</v>
      </c>
      <c r="D78" s="2" t="s">
        <v>597</v>
      </c>
      <c r="E78" s="2"/>
      <c r="F78" s="2"/>
      <c r="G78" s="2"/>
      <c r="H78" s="2" t="s">
        <v>202</v>
      </c>
      <c r="I78" s="9" t="s">
        <v>303</v>
      </c>
      <c r="J78" s="2">
        <v>150</v>
      </c>
      <c r="K78" s="2" t="s">
        <v>352</v>
      </c>
      <c r="L78" s="2"/>
      <c r="M78" s="22" t="s">
        <v>353</v>
      </c>
      <c r="N78" s="22"/>
      <c r="O78" s="2">
        <v>85</v>
      </c>
      <c r="P78" s="2"/>
      <c r="Q78" s="2"/>
      <c r="R78" s="13">
        <v>2</v>
      </c>
      <c r="S78" s="13">
        <v>2</v>
      </c>
      <c r="T78" s="13"/>
      <c r="U78" s="18" t="s">
        <v>13</v>
      </c>
      <c r="V78" s="18">
        <v>6</v>
      </c>
      <c r="W78" s="1" t="s">
        <v>364</v>
      </c>
      <c r="X78" s="26"/>
      <c r="Y78" s="22">
        <f t="shared" si="2"/>
        <v>170</v>
      </c>
      <c r="Z78" s="26"/>
      <c r="AA78" s="20" t="s">
        <v>354</v>
      </c>
      <c r="AB78" s="11" t="s">
        <v>598</v>
      </c>
    </row>
    <row r="79" spans="1:28" s="12" customFormat="1" ht="29.25" customHeight="1">
      <c r="A79" s="26"/>
      <c r="B79" s="2" t="s">
        <v>442</v>
      </c>
      <c r="C79" s="2" t="s">
        <v>168</v>
      </c>
      <c r="D79" s="2"/>
      <c r="E79" s="2" t="s">
        <v>951</v>
      </c>
      <c r="F79" s="2" t="s">
        <v>953</v>
      </c>
      <c r="G79" s="2"/>
      <c r="H79" s="2" t="s">
        <v>202</v>
      </c>
      <c r="I79" s="9" t="s">
        <v>303</v>
      </c>
      <c r="J79" s="2">
        <v>176</v>
      </c>
      <c r="K79" s="2" t="s">
        <v>360</v>
      </c>
      <c r="L79" s="2">
        <v>613</v>
      </c>
      <c r="M79" s="22" t="s">
        <v>353</v>
      </c>
      <c r="N79" s="22"/>
      <c r="O79" s="2">
        <v>20</v>
      </c>
      <c r="P79" s="2"/>
      <c r="Q79" s="2"/>
      <c r="R79" s="1">
        <v>1</v>
      </c>
      <c r="S79" s="1">
        <v>1</v>
      </c>
      <c r="T79" s="1"/>
      <c r="U79" s="18" t="s">
        <v>14</v>
      </c>
      <c r="V79" s="18">
        <v>6</v>
      </c>
      <c r="W79" s="1" t="s">
        <v>618</v>
      </c>
      <c r="X79" s="26"/>
      <c r="Y79" s="22">
        <f t="shared" si="2"/>
        <v>20</v>
      </c>
      <c r="Z79" s="26"/>
      <c r="AA79" s="20" t="s">
        <v>354</v>
      </c>
      <c r="AB79" s="11" t="s">
        <v>629</v>
      </c>
    </row>
    <row r="80" spans="1:28" s="12" customFormat="1" ht="29.25" customHeight="1">
      <c r="A80" s="26"/>
      <c r="B80" s="2" t="s">
        <v>443</v>
      </c>
      <c r="C80" s="2" t="s">
        <v>168</v>
      </c>
      <c r="D80" s="2"/>
      <c r="E80" s="2" t="s">
        <v>952</v>
      </c>
      <c r="F80" s="2"/>
      <c r="G80" s="2"/>
      <c r="H80" s="2" t="s">
        <v>202</v>
      </c>
      <c r="I80" s="9" t="s">
        <v>303</v>
      </c>
      <c r="J80" s="2">
        <v>184</v>
      </c>
      <c r="K80" s="2" t="s">
        <v>360</v>
      </c>
      <c r="L80" s="2">
        <v>613</v>
      </c>
      <c r="M80" s="22" t="s">
        <v>353</v>
      </c>
      <c r="N80" s="22"/>
      <c r="O80" s="2">
        <v>25</v>
      </c>
      <c r="P80" s="2"/>
      <c r="Q80" s="2"/>
      <c r="R80" s="1">
        <v>1</v>
      </c>
      <c r="S80" s="1">
        <v>1</v>
      </c>
      <c r="T80" s="1"/>
      <c r="U80" s="18" t="s">
        <v>14</v>
      </c>
      <c r="V80" s="18">
        <v>6</v>
      </c>
      <c r="W80" s="1" t="s">
        <v>618</v>
      </c>
      <c r="X80" s="26"/>
      <c r="Y80" s="22">
        <f t="shared" si="2"/>
        <v>25</v>
      </c>
      <c r="Z80" s="26"/>
      <c r="AA80" s="20" t="s">
        <v>354</v>
      </c>
      <c r="AB80" s="11" t="s">
        <v>639</v>
      </c>
    </row>
    <row r="81" spans="1:28" s="12" customFormat="1" ht="29.25" customHeight="1">
      <c r="A81" s="26"/>
      <c r="B81" s="2" t="s">
        <v>444</v>
      </c>
      <c r="C81" s="2" t="s">
        <v>168</v>
      </c>
      <c r="D81" s="2"/>
      <c r="E81" s="2"/>
      <c r="F81" s="2"/>
      <c r="G81" s="2"/>
      <c r="H81" s="2" t="s">
        <v>202</v>
      </c>
      <c r="I81" s="9" t="s">
        <v>303</v>
      </c>
      <c r="J81" s="2">
        <v>176</v>
      </c>
      <c r="K81" s="2" t="s">
        <v>360</v>
      </c>
      <c r="L81" s="2">
        <v>613</v>
      </c>
      <c r="M81" s="22" t="s">
        <v>353</v>
      </c>
      <c r="N81" s="22"/>
      <c r="O81" s="2">
        <v>20</v>
      </c>
      <c r="P81" s="2"/>
      <c r="Q81" s="2"/>
      <c r="R81" s="1">
        <v>1</v>
      </c>
      <c r="S81" s="1">
        <v>1</v>
      </c>
      <c r="T81" s="1"/>
      <c r="U81" s="18" t="s">
        <v>14</v>
      </c>
      <c r="V81" s="18">
        <v>6</v>
      </c>
      <c r="W81" s="1" t="s">
        <v>618</v>
      </c>
      <c r="X81" s="26"/>
      <c r="Y81" s="22">
        <f t="shared" si="2"/>
        <v>20</v>
      </c>
      <c r="Z81" s="26"/>
      <c r="AA81" s="20" t="s">
        <v>354</v>
      </c>
      <c r="AB81" s="11" t="s">
        <v>640</v>
      </c>
    </row>
    <row r="82" spans="1:28" s="12" customFormat="1" ht="29.25" customHeight="1">
      <c r="A82" s="26"/>
      <c r="B82" s="2" t="s">
        <v>445</v>
      </c>
      <c r="C82" s="2" t="s">
        <v>168</v>
      </c>
      <c r="D82" s="2"/>
      <c r="E82" s="2"/>
      <c r="F82" s="2"/>
      <c r="G82" s="2"/>
      <c r="H82" s="2" t="s">
        <v>202</v>
      </c>
      <c r="I82" s="9" t="s">
        <v>303</v>
      </c>
      <c r="J82" s="2">
        <v>184</v>
      </c>
      <c r="K82" s="2" t="s">
        <v>360</v>
      </c>
      <c r="L82" s="2">
        <v>613</v>
      </c>
      <c r="M82" s="22" t="s">
        <v>353</v>
      </c>
      <c r="N82" s="22"/>
      <c r="O82" s="2">
        <v>25</v>
      </c>
      <c r="P82" s="2"/>
      <c r="Q82" s="2"/>
      <c r="R82" s="1">
        <v>1</v>
      </c>
      <c r="S82" s="1">
        <v>1</v>
      </c>
      <c r="T82" s="1"/>
      <c r="U82" s="18" t="s">
        <v>14</v>
      </c>
      <c r="V82" s="18">
        <v>6</v>
      </c>
      <c r="W82" s="1" t="s">
        <v>618</v>
      </c>
      <c r="X82" s="26"/>
      <c r="Y82" s="22">
        <f t="shared" si="2"/>
        <v>25</v>
      </c>
      <c r="Z82" s="26"/>
      <c r="AA82" s="20" t="s">
        <v>354</v>
      </c>
      <c r="AB82" s="11" t="s">
        <v>642</v>
      </c>
    </row>
    <row r="83" spans="1:28" s="12" customFormat="1" ht="29.25" customHeight="1">
      <c r="A83" s="26"/>
      <c r="B83" s="2" t="s">
        <v>446</v>
      </c>
      <c r="C83" s="2" t="s">
        <v>168</v>
      </c>
      <c r="D83" s="2"/>
      <c r="E83" s="2"/>
      <c r="F83" s="2"/>
      <c r="G83" s="2"/>
      <c r="H83" s="2" t="s">
        <v>202</v>
      </c>
      <c r="I83" s="9" t="s">
        <v>303</v>
      </c>
      <c r="J83" s="2">
        <v>168</v>
      </c>
      <c r="K83" s="2" t="s">
        <v>360</v>
      </c>
      <c r="L83" s="2">
        <v>613</v>
      </c>
      <c r="M83" s="22" t="s">
        <v>353</v>
      </c>
      <c r="N83" s="22"/>
      <c r="O83" s="2">
        <v>20</v>
      </c>
      <c r="P83" s="2"/>
      <c r="Q83" s="2"/>
      <c r="R83" s="1">
        <v>1</v>
      </c>
      <c r="S83" s="1">
        <v>1</v>
      </c>
      <c r="T83" s="1"/>
      <c r="U83" s="18" t="s">
        <v>14</v>
      </c>
      <c r="V83" s="18">
        <v>6</v>
      </c>
      <c r="W83" s="1" t="s">
        <v>618</v>
      </c>
      <c r="X83" s="26"/>
      <c r="Y83" s="22">
        <f t="shared" si="2"/>
        <v>20</v>
      </c>
      <c r="Z83" s="26"/>
      <c r="AA83" s="20" t="s">
        <v>354</v>
      </c>
      <c r="AB83" s="11" t="s">
        <v>644</v>
      </c>
    </row>
    <row r="84" spans="1:28" s="12" customFormat="1" ht="29.25" customHeight="1">
      <c r="A84" s="26"/>
      <c r="B84" s="2" t="s">
        <v>447</v>
      </c>
      <c r="C84" s="2" t="s">
        <v>168</v>
      </c>
      <c r="D84" s="2"/>
      <c r="E84" s="2"/>
      <c r="F84" s="2"/>
      <c r="G84" s="2"/>
      <c r="H84" s="2" t="s">
        <v>202</v>
      </c>
      <c r="I84" s="9" t="s">
        <v>303</v>
      </c>
      <c r="J84" s="2">
        <v>168</v>
      </c>
      <c r="K84" s="2" t="s">
        <v>360</v>
      </c>
      <c r="L84" s="2">
        <v>613</v>
      </c>
      <c r="M84" s="22" t="s">
        <v>353</v>
      </c>
      <c r="N84" s="22"/>
      <c r="O84" s="2">
        <v>20</v>
      </c>
      <c r="P84" s="2"/>
      <c r="Q84" s="2"/>
      <c r="R84" s="1">
        <v>1</v>
      </c>
      <c r="S84" s="1">
        <v>1</v>
      </c>
      <c r="T84" s="1"/>
      <c r="U84" s="18" t="s">
        <v>14</v>
      </c>
      <c r="V84" s="18">
        <v>6</v>
      </c>
      <c r="W84" s="1" t="s">
        <v>618</v>
      </c>
      <c r="X84" s="26"/>
      <c r="Y84" s="22">
        <f t="shared" si="2"/>
        <v>20</v>
      </c>
      <c r="Z84" s="26"/>
      <c r="AA84" s="20" t="s">
        <v>354</v>
      </c>
      <c r="AB84" s="11" t="s">
        <v>630</v>
      </c>
    </row>
    <row r="85" spans="1:28" s="12" customFormat="1" ht="29.25" customHeight="1">
      <c r="A85" s="26"/>
      <c r="B85" s="2" t="s">
        <v>448</v>
      </c>
      <c r="C85" s="2" t="s">
        <v>168</v>
      </c>
      <c r="D85" s="2"/>
      <c r="E85" s="2"/>
      <c r="F85" s="2"/>
      <c r="G85" s="2"/>
      <c r="H85" s="2" t="s">
        <v>202</v>
      </c>
      <c r="I85" s="9" t="s">
        <v>303</v>
      </c>
      <c r="J85" s="2">
        <v>176</v>
      </c>
      <c r="K85" s="2" t="s">
        <v>360</v>
      </c>
      <c r="L85" s="2">
        <v>610</v>
      </c>
      <c r="M85" s="22" t="s">
        <v>353</v>
      </c>
      <c r="N85" s="22"/>
      <c r="O85" s="2">
        <v>20</v>
      </c>
      <c r="P85" s="2"/>
      <c r="Q85" s="2"/>
      <c r="R85" s="1">
        <v>1</v>
      </c>
      <c r="S85" s="1">
        <v>1</v>
      </c>
      <c r="T85" s="1"/>
      <c r="U85" s="18" t="s">
        <v>14</v>
      </c>
      <c r="V85" s="18">
        <v>6</v>
      </c>
      <c r="W85" s="1" t="s">
        <v>618</v>
      </c>
      <c r="X85" s="26"/>
      <c r="Y85" s="22">
        <f t="shared" si="2"/>
        <v>20</v>
      </c>
      <c r="Z85" s="26"/>
      <c r="AA85" s="20" t="s">
        <v>354</v>
      </c>
      <c r="AB85" s="11" t="s">
        <v>638</v>
      </c>
    </row>
    <row r="86" spans="1:28" s="12" customFormat="1" ht="29.25" customHeight="1">
      <c r="A86" s="26"/>
      <c r="B86" s="2" t="s">
        <v>449</v>
      </c>
      <c r="C86" s="2" t="s">
        <v>168</v>
      </c>
      <c r="D86" s="2"/>
      <c r="E86" s="2"/>
      <c r="F86" s="2"/>
      <c r="G86" s="2"/>
      <c r="H86" s="2" t="s">
        <v>202</v>
      </c>
      <c r="I86" s="9" t="s">
        <v>303</v>
      </c>
      <c r="J86" s="2">
        <v>178</v>
      </c>
      <c r="K86" s="2" t="s">
        <v>360</v>
      </c>
      <c r="L86" s="2">
        <v>613</v>
      </c>
      <c r="M86" s="22" t="s">
        <v>353</v>
      </c>
      <c r="N86" s="22"/>
      <c r="O86" s="2">
        <v>25</v>
      </c>
      <c r="P86" s="2"/>
      <c r="Q86" s="2"/>
      <c r="R86" s="1">
        <v>1</v>
      </c>
      <c r="S86" s="1">
        <v>1</v>
      </c>
      <c r="T86" s="1"/>
      <c r="U86" s="18" t="s">
        <v>14</v>
      </c>
      <c r="V86" s="18">
        <v>6</v>
      </c>
      <c r="W86" s="1" t="s">
        <v>618</v>
      </c>
      <c r="X86" s="26"/>
      <c r="Y86" s="22">
        <f t="shared" si="2"/>
        <v>25</v>
      </c>
      <c r="Z86" s="26"/>
      <c r="AA86" s="20" t="s">
        <v>354</v>
      </c>
      <c r="AB86" s="11" t="s">
        <v>641</v>
      </c>
    </row>
    <row r="87" spans="1:28" s="12" customFormat="1" ht="29.25" customHeight="1">
      <c r="A87" s="26"/>
      <c r="B87" s="2" t="s">
        <v>627</v>
      </c>
      <c r="C87" s="2" t="s">
        <v>168</v>
      </c>
      <c r="D87" s="2"/>
      <c r="E87" s="2"/>
      <c r="F87" s="2"/>
      <c r="G87" s="2"/>
      <c r="H87" s="2" t="s">
        <v>202</v>
      </c>
      <c r="I87" s="9" t="s">
        <v>303</v>
      </c>
      <c r="J87" s="2">
        <v>180</v>
      </c>
      <c r="K87" s="2" t="s">
        <v>360</v>
      </c>
      <c r="L87" s="2">
        <v>613</v>
      </c>
      <c r="M87" s="22" t="s">
        <v>353</v>
      </c>
      <c r="N87" s="22"/>
      <c r="O87" s="2">
        <v>20</v>
      </c>
      <c r="P87" s="2"/>
      <c r="Q87" s="2"/>
      <c r="R87" s="1">
        <v>1</v>
      </c>
      <c r="S87" s="1">
        <v>1</v>
      </c>
      <c r="T87" s="1"/>
      <c r="U87" s="18" t="s">
        <v>14</v>
      </c>
      <c r="V87" s="18">
        <v>6</v>
      </c>
      <c r="W87" s="1" t="s">
        <v>618</v>
      </c>
      <c r="X87" s="26"/>
      <c r="Y87" s="22">
        <f t="shared" si="2"/>
        <v>20</v>
      </c>
      <c r="Z87" s="26"/>
      <c r="AA87" s="20" t="s">
        <v>354</v>
      </c>
      <c r="AB87" s="11" t="s">
        <v>628</v>
      </c>
    </row>
    <row r="88" spans="1:28" s="12" customFormat="1" ht="29.25" customHeight="1">
      <c r="A88" s="26"/>
      <c r="B88" s="2" t="s">
        <v>632</v>
      </c>
      <c r="C88" s="2" t="s">
        <v>633</v>
      </c>
      <c r="D88" s="2" t="s">
        <v>634</v>
      </c>
      <c r="E88" s="2"/>
      <c r="F88" s="2"/>
      <c r="G88" s="2"/>
      <c r="H88" s="2" t="s">
        <v>202</v>
      </c>
      <c r="I88" s="9" t="s">
        <v>303</v>
      </c>
      <c r="J88" s="2">
        <v>200</v>
      </c>
      <c r="K88" s="2" t="s">
        <v>635</v>
      </c>
      <c r="L88" s="2">
        <v>793.8</v>
      </c>
      <c r="M88" s="22" t="s">
        <v>636</v>
      </c>
      <c r="N88" s="22"/>
      <c r="O88" s="2">
        <v>25</v>
      </c>
      <c r="P88" s="2"/>
      <c r="Q88" s="2"/>
      <c r="R88" s="1">
        <v>1</v>
      </c>
      <c r="S88" s="1">
        <v>1</v>
      </c>
      <c r="T88" s="1"/>
      <c r="U88" s="18" t="s">
        <v>14</v>
      </c>
      <c r="V88" s="18">
        <v>6</v>
      </c>
      <c r="W88" s="1" t="s">
        <v>618</v>
      </c>
      <c r="X88" s="26"/>
      <c r="Y88" s="22">
        <f t="shared" si="2"/>
        <v>25</v>
      </c>
      <c r="Z88" s="26"/>
      <c r="AA88" s="20" t="s">
        <v>354</v>
      </c>
      <c r="AB88" s="11" t="s">
        <v>637</v>
      </c>
    </row>
    <row r="89" spans="1:28" s="12" customFormat="1" ht="29.25" customHeight="1">
      <c r="A89" s="26"/>
      <c r="B89" s="2" t="s">
        <v>450</v>
      </c>
      <c r="C89" s="2" t="s">
        <v>168</v>
      </c>
      <c r="D89" s="2"/>
      <c r="E89" s="2"/>
      <c r="F89" s="2"/>
      <c r="G89" s="2"/>
      <c r="H89" s="2" t="s">
        <v>202</v>
      </c>
      <c r="I89" s="9" t="s">
        <v>303</v>
      </c>
      <c r="J89" s="2">
        <v>184</v>
      </c>
      <c r="K89" s="2" t="s">
        <v>360</v>
      </c>
      <c r="L89" s="2">
        <v>613</v>
      </c>
      <c r="M89" s="22" t="s">
        <v>353</v>
      </c>
      <c r="N89" s="22"/>
      <c r="O89" s="2">
        <v>25</v>
      </c>
      <c r="P89" s="2"/>
      <c r="Q89" s="2"/>
      <c r="R89" s="1">
        <v>1</v>
      </c>
      <c r="S89" s="1">
        <v>1</v>
      </c>
      <c r="T89" s="1"/>
      <c r="U89" s="18" t="s">
        <v>14</v>
      </c>
      <c r="V89" s="18">
        <v>6</v>
      </c>
      <c r="W89" s="1" t="s">
        <v>618</v>
      </c>
      <c r="X89" s="26"/>
      <c r="Y89" s="22">
        <f t="shared" si="2"/>
        <v>25</v>
      </c>
      <c r="Z89" s="26"/>
      <c r="AA89" s="20" t="s">
        <v>354</v>
      </c>
      <c r="AB89" s="11" t="s">
        <v>620</v>
      </c>
    </row>
    <row r="90" spans="1:28" s="12" customFormat="1" ht="29.25" customHeight="1">
      <c r="A90" s="26"/>
      <c r="B90" s="2" t="s">
        <v>451</v>
      </c>
      <c r="C90" s="2" t="s">
        <v>168</v>
      </c>
      <c r="D90" s="2"/>
      <c r="E90" s="2"/>
      <c r="F90" s="2"/>
      <c r="G90" s="2"/>
      <c r="H90" s="2" t="s">
        <v>202</v>
      </c>
      <c r="I90" s="9" t="s">
        <v>303</v>
      </c>
      <c r="J90" s="2">
        <v>168</v>
      </c>
      <c r="K90" s="2" t="s">
        <v>360</v>
      </c>
      <c r="L90" s="2">
        <v>613</v>
      </c>
      <c r="M90" s="22" t="s">
        <v>353</v>
      </c>
      <c r="N90" s="22"/>
      <c r="O90" s="2">
        <v>20</v>
      </c>
      <c r="P90" s="2"/>
      <c r="Q90" s="2"/>
      <c r="R90" s="1">
        <v>2</v>
      </c>
      <c r="S90" s="1">
        <v>2</v>
      </c>
      <c r="T90" s="1"/>
      <c r="U90" s="18" t="s">
        <v>14</v>
      </c>
      <c r="V90" s="18">
        <v>6</v>
      </c>
      <c r="W90" s="1" t="s">
        <v>618</v>
      </c>
      <c r="X90" s="26"/>
      <c r="Y90" s="22">
        <f t="shared" si="2"/>
        <v>40</v>
      </c>
      <c r="Z90" s="26"/>
      <c r="AA90" s="20" t="s">
        <v>354</v>
      </c>
      <c r="AB90" s="11" t="s">
        <v>628</v>
      </c>
    </row>
    <row r="91" spans="1:28" s="12" customFormat="1" ht="29.25" customHeight="1">
      <c r="A91" s="26"/>
      <c r="B91" s="2" t="s">
        <v>452</v>
      </c>
      <c r="C91" s="2" t="s">
        <v>168</v>
      </c>
      <c r="D91" s="2"/>
      <c r="E91" s="2"/>
      <c r="F91" s="2"/>
      <c r="G91" s="2"/>
      <c r="H91" s="2" t="s">
        <v>202</v>
      </c>
      <c r="I91" s="9" t="s">
        <v>303</v>
      </c>
      <c r="J91" s="2">
        <v>176</v>
      </c>
      <c r="K91" s="2" t="s">
        <v>360</v>
      </c>
      <c r="L91" s="2">
        <v>613</v>
      </c>
      <c r="M91" s="22" t="s">
        <v>353</v>
      </c>
      <c r="N91" s="22"/>
      <c r="O91" s="2">
        <v>20</v>
      </c>
      <c r="P91" s="2"/>
      <c r="Q91" s="2"/>
      <c r="R91" s="1">
        <v>1</v>
      </c>
      <c r="S91" s="1">
        <v>1</v>
      </c>
      <c r="T91" s="1"/>
      <c r="U91" s="18" t="s">
        <v>14</v>
      </c>
      <c r="V91" s="18">
        <v>6</v>
      </c>
      <c r="W91" s="1" t="s">
        <v>618</v>
      </c>
      <c r="X91" s="26"/>
      <c r="Y91" s="22">
        <f t="shared" si="2"/>
        <v>20</v>
      </c>
      <c r="Z91" s="26"/>
      <c r="AA91" s="20" t="s">
        <v>354</v>
      </c>
      <c r="AB91" s="11" t="s">
        <v>622</v>
      </c>
    </row>
    <row r="92" spans="1:28" s="12" customFormat="1" ht="29.25" customHeight="1">
      <c r="A92" s="26"/>
      <c r="B92" s="2" t="s">
        <v>453</v>
      </c>
      <c r="C92" s="2" t="s">
        <v>168</v>
      </c>
      <c r="D92" s="2"/>
      <c r="E92" s="2"/>
      <c r="F92" s="2"/>
      <c r="G92" s="2"/>
      <c r="H92" s="2" t="s">
        <v>202</v>
      </c>
      <c r="I92" s="9" t="s">
        <v>303</v>
      </c>
      <c r="J92" s="2">
        <v>168</v>
      </c>
      <c r="K92" s="2" t="s">
        <v>360</v>
      </c>
      <c r="L92" s="2">
        <v>613</v>
      </c>
      <c r="M92" s="22" t="s">
        <v>353</v>
      </c>
      <c r="N92" s="22"/>
      <c r="O92" s="2">
        <v>20</v>
      </c>
      <c r="P92" s="2"/>
      <c r="Q92" s="2"/>
      <c r="R92" s="1">
        <v>1</v>
      </c>
      <c r="S92" s="1">
        <v>1</v>
      </c>
      <c r="T92" s="1"/>
      <c r="U92" s="18" t="s">
        <v>14</v>
      </c>
      <c r="V92" s="18">
        <v>6</v>
      </c>
      <c r="W92" s="1" t="s">
        <v>618</v>
      </c>
      <c r="X92" s="26"/>
      <c r="Y92" s="22">
        <f t="shared" si="2"/>
        <v>20</v>
      </c>
      <c r="Z92" s="26"/>
      <c r="AA92" s="20" t="s">
        <v>354</v>
      </c>
      <c r="AB92" s="11" t="s">
        <v>623</v>
      </c>
    </row>
    <row r="93" spans="1:28" s="12" customFormat="1" ht="29.25" customHeight="1">
      <c r="A93" s="26"/>
      <c r="B93" s="2" t="s">
        <v>454</v>
      </c>
      <c r="C93" s="2" t="s">
        <v>168</v>
      </c>
      <c r="D93" s="2"/>
      <c r="E93" s="2"/>
      <c r="F93" s="2"/>
      <c r="G93" s="2"/>
      <c r="H93" s="2" t="s">
        <v>202</v>
      </c>
      <c r="I93" s="9" t="s">
        <v>303</v>
      </c>
      <c r="J93" s="2">
        <v>168</v>
      </c>
      <c r="K93" s="2" t="s">
        <v>360</v>
      </c>
      <c r="L93" s="2">
        <v>610</v>
      </c>
      <c r="M93" s="22" t="s">
        <v>353</v>
      </c>
      <c r="N93" s="22"/>
      <c r="O93" s="2">
        <v>20</v>
      </c>
      <c r="P93" s="2"/>
      <c r="Q93" s="2"/>
      <c r="R93" s="1">
        <v>1</v>
      </c>
      <c r="S93" s="1">
        <v>1</v>
      </c>
      <c r="T93" s="1"/>
      <c r="U93" s="18" t="s">
        <v>14</v>
      </c>
      <c r="V93" s="18">
        <v>6</v>
      </c>
      <c r="W93" s="1" t="s">
        <v>618</v>
      </c>
      <c r="X93" s="26"/>
      <c r="Y93" s="22">
        <f t="shared" si="2"/>
        <v>20</v>
      </c>
      <c r="Z93" s="26"/>
      <c r="AA93" s="20" t="s">
        <v>354</v>
      </c>
      <c r="AB93" s="11" t="s">
        <v>631</v>
      </c>
    </row>
    <row r="94" spans="1:28" s="12" customFormat="1" ht="29.25" customHeight="1">
      <c r="A94" s="26"/>
      <c r="B94" s="2" t="s">
        <v>455</v>
      </c>
      <c r="C94" s="2" t="s">
        <v>168</v>
      </c>
      <c r="D94" s="2"/>
      <c r="E94" s="2"/>
      <c r="F94" s="2"/>
      <c r="G94" s="2"/>
      <c r="H94" s="2" t="s">
        <v>202</v>
      </c>
      <c r="I94" s="9" t="s">
        <v>303</v>
      </c>
      <c r="J94" s="2">
        <v>187</v>
      </c>
      <c r="K94" s="2" t="s">
        <v>352</v>
      </c>
      <c r="L94" s="2">
        <v>613</v>
      </c>
      <c r="M94" s="22" t="s">
        <v>353</v>
      </c>
      <c r="N94" s="22"/>
      <c r="O94" s="2">
        <v>25</v>
      </c>
      <c r="P94" s="2"/>
      <c r="Q94" s="2"/>
      <c r="R94" s="1">
        <v>1</v>
      </c>
      <c r="S94" s="1">
        <v>1</v>
      </c>
      <c r="T94" s="1"/>
      <c r="U94" s="18" t="s">
        <v>14</v>
      </c>
      <c r="V94" s="18">
        <v>6</v>
      </c>
      <c r="W94" s="1" t="s">
        <v>618</v>
      </c>
      <c r="X94" s="26"/>
      <c r="Y94" s="22">
        <f t="shared" si="2"/>
        <v>25</v>
      </c>
      <c r="Z94" s="26"/>
      <c r="AA94" s="20" t="s">
        <v>354</v>
      </c>
      <c r="AB94" s="11" t="s">
        <v>617</v>
      </c>
    </row>
    <row r="95" spans="1:28" s="12" customFormat="1" ht="29.25" customHeight="1">
      <c r="A95" s="26"/>
      <c r="B95" s="2" t="s">
        <v>456</v>
      </c>
      <c r="C95" s="2" t="s">
        <v>168</v>
      </c>
      <c r="D95" s="2"/>
      <c r="E95" s="2"/>
      <c r="F95" s="2"/>
      <c r="G95" s="2"/>
      <c r="H95" s="2" t="s">
        <v>202</v>
      </c>
      <c r="I95" s="9" t="s">
        <v>303</v>
      </c>
      <c r="J95" s="2">
        <v>184</v>
      </c>
      <c r="K95" s="2" t="s">
        <v>360</v>
      </c>
      <c r="L95" s="2">
        <v>613</v>
      </c>
      <c r="M95" s="22" t="s">
        <v>353</v>
      </c>
      <c r="N95" s="22"/>
      <c r="O95" s="2">
        <v>25</v>
      </c>
      <c r="P95" s="2"/>
      <c r="Q95" s="2"/>
      <c r="R95" s="1">
        <v>1</v>
      </c>
      <c r="S95" s="1">
        <v>1</v>
      </c>
      <c r="T95" s="1"/>
      <c r="U95" s="18" t="s">
        <v>14</v>
      </c>
      <c r="V95" s="18">
        <v>6</v>
      </c>
      <c r="W95" s="1" t="s">
        <v>618</v>
      </c>
      <c r="X95" s="26"/>
      <c r="Y95" s="22">
        <f t="shared" si="2"/>
        <v>25</v>
      </c>
      <c r="Z95" s="26"/>
      <c r="AA95" s="20" t="s">
        <v>354</v>
      </c>
      <c r="AB95" s="11" t="s">
        <v>619</v>
      </c>
    </row>
    <row r="96" spans="1:28" s="12" customFormat="1" ht="29.25" customHeight="1">
      <c r="A96" s="26"/>
      <c r="B96" s="2" t="s">
        <v>457</v>
      </c>
      <c r="C96" s="2" t="s">
        <v>168</v>
      </c>
      <c r="D96" s="2"/>
      <c r="E96" s="2"/>
      <c r="F96" s="2"/>
      <c r="G96" s="2"/>
      <c r="H96" s="2" t="s">
        <v>202</v>
      </c>
      <c r="I96" s="9" t="s">
        <v>303</v>
      </c>
      <c r="J96" s="2">
        <v>187</v>
      </c>
      <c r="K96" s="2" t="s">
        <v>360</v>
      </c>
      <c r="L96" s="2">
        <v>613</v>
      </c>
      <c r="M96" s="22" t="s">
        <v>353</v>
      </c>
      <c r="N96" s="22"/>
      <c r="O96" s="2">
        <v>25</v>
      </c>
      <c r="P96" s="2"/>
      <c r="Q96" s="2"/>
      <c r="R96" s="1">
        <v>1</v>
      </c>
      <c r="S96" s="1">
        <v>1</v>
      </c>
      <c r="T96" s="1"/>
      <c r="U96" s="18" t="s">
        <v>14</v>
      </c>
      <c r="V96" s="18">
        <v>6</v>
      </c>
      <c r="W96" s="1" t="s">
        <v>618</v>
      </c>
      <c r="X96" s="26"/>
      <c r="Y96" s="22">
        <f t="shared" si="2"/>
        <v>25</v>
      </c>
      <c r="Z96" s="26"/>
      <c r="AA96" s="20" t="s">
        <v>354</v>
      </c>
      <c r="AB96" s="11" t="s">
        <v>616</v>
      </c>
    </row>
    <row r="97" spans="1:28" s="12" customFormat="1" ht="29.25" customHeight="1">
      <c r="A97" s="26"/>
      <c r="B97" s="2" t="s">
        <v>458</v>
      </c>
      <c r="C97" s="2" t="s">
        <v>168</v>
      </c>
      <c r="D97" s="2"/>
      <c r="E97" s="2"/>
      <c r="F97" s="2"/>
      <c r="G97" s="2"/>
      <c r="H97" s="2" t="s">
        <v>202</v>
      </c>
      <c r="I97" s="9" t="s">
        <v>303</v>
      </c>
      <c r="J97" s="2">
        <v>168</v>
      </c>
      <c r="K97" s="2" t="s">
        <v>360</v>
      </c>
      <c r="L97" s="2">
        <v>613</v>
      </c>
      <c r="M97" s="22" t="s">
        <v>353</v>
      </c>
      <c r="N97" s="22"/>
      <c r="O97" s="2">
        <v>20</v>
      </c>
      <c r="P97" s="2"/>
      <c r="Q97" s="2"/>
      <c r="R97" s="1">
        <v>1</v>
      </c>
      <c r="S97" s="1">
        <v>1</v>
      </c>
      <c r="T97" s="1"/>
      <c r="U97" s="18" t="s">
        <v>14</v>
      </c>
      <c r="V97" s="18">
        <v>6</v>
      </c>
      <c r="W97" s="1" t="s">
        <v>618</v>
      </c>
      <c r="X97" s="26"/>
      <c r="Y97" s="22">
        <f t="shared" si="2"/>
        <v>20</v>
      </c>
      <c r="Z97" s="26"/>
      <c r="AA97" s="20" t="s">
        <v>354</v>
      </c>
      <c r="AB97" s="11" t="s">
        <v>624</v>
      </c>
    </row>
    <row r="98" spans="1:28" s="12" customFormat="1" ht="29.25" customHeight="1">
      <c r="A98" s="26"/>
      <c r="B98" s="2" t="s">
        <v>459</v>
      </c>
      <c r="C98" s="2" t="s">
        <v>168</v>
      </c>
      <c r="D98" s="2"/>
      <c r="E98" s="2"/>
      <c r="F98" s="2"/>
      <c r="G98" s="2"/>
      <c r="H98" s="2" t="s">
        <v>202</v>
      </c>
      <c r="I98" s="9" t="s">
        <v>303</v>
      </c>
      <c r="J98" s="2">
        <v>168</v>
      </c>
      <c r="K98" s="2" t="s">
        <v>360</v>
      </c>
      <c r="L98" s="2">
        <v>613</v>
      </c>
      <c r="M98" s="22" t="s">
        <v>353</v>
      </c>
      <c r="N98" s="22"/>
      <c r="O98" s="2">
        <v>20</v>
      </c>
      <c r="P98" s="2"/>
      <c r="Q98" s="2"/>
      <c r="R98" s="1">
        <v>1</v>
      </c>
      <c r="S98" s="1">
        <v>1</v>
      </c>
      <c r="T98" s="1"/>
      <c r="U98" s="18" t="s">
        <v>14</v>
      </c>
      <c r="V98" s="18">
        <v>6</v>
      </c>
      <c r="W98" s="1" t="s">
        <v>618</v>
      </c>
      <c r="X98" s="26"/>
      <c r="Y98" s="22">
        <f t="shared" si="2"/>
        <v>20</v>
      </c>
      <c r="Z98" s="26"/>
      <c r="AA98" s="20" t="s">
        <v>354</v>
      </c>
      <c r="AB98" s="11" t="s">
        <v>643</v>
      </c>
    </row>
    <row r="99" spans="1:28" s="12" customFormat="1" ht="29.25" customHeight="1">
      <c r="A99" s="26"/>
      <c r="B99" s="2" t="s">
        <v>460</v>
      </c>
      <c r="C99" s="2" t="s">
        <v>168</v>
      </c>
      <c r="D99" s="2"/>
      <c r="E99" s="2"/>
      <c r="F99" s="2"/>
      <c r="G99" s="2"/>
      <c r="H99" s="2" t="s">
        <v>202</v>
      </c>
      <c r="I99" s="9" t="s">
        <v>303</v>
      </c>
      <c r="J99" s="2">
        <v>182</v>
      </c>
      <c r="K99" s="2" t="s">
        <v>360</v>
      </c>
      <c r="L99" s="2">
        <v>613</v>
      </c>
      <c r="M99" s="22" t="s">
        <v>353</v>
      </c>
      <c r="N99" s="22"/>
      <c r="O99" s="2">
        <v>25</v>
      </c>
      <c r="P99" s="2"/>
      <c r="Q99" s="2"/>
      <c r="R99" s="1">
        <v>1</v>
      </c>
      <c r="S99" s="1">
        <v>1</v>
      </c>
      <c r="T99" s="1"/>
      <c r="U99" s="18" t="s">
        <v>14</v>
      </c>
      <c r="V99" s="18">
        <v>6</v>
      </c>
      <c r="W99" s="1" t="s">
        <v>618</v>
      </c>
      <c r="X99" s="26"/>
      <c r="Y99" s="22">
        <f t="shared" si="2"/>
        <v>25</v>
      </c>
      <c r="Z99" s="26"/>
      <c r="AA99" s="20" t="s">
        <v>354</v>
      </c>
      <c r="AB99" s="11" t="s">
        <v>621</v>
      </c>
    </row>
    <row r="100" spans="1:28" s="12" customFormat="1" ht="29.25" customHeight="1">
      <c r="A100" s="26"/>
      <c r="B100" s="2" t="s">
        <v>461</v>
      </c>
      <c r="C100" s="2" t="s">
        <v>3</v>
      </c>
      <c r="D100" s="2" t="s">
        <v>599</v>
      </c>
      <c r="E100" s="2"/>
      <c r="F100" s="2"/>
      <c r="G100" s="2"/>
      <c r="H100" s="2" t="s">
        <v>202</v>
      </c>
      <c r="I100" s="9" t="s">
        <v>303</v>
      </c>
      <c r="J100" s="2">
        <v>152</v>
      </c>
      <c r="K100" s="2" t="s">
        <v>594</v>
      </c>
      <c r="L100" s="2"/>
      <c r="M100" s="22" t="s">
        <v>353</v>
      </c>
      <c r="N100" s="22"/>
      <c r="O100" s="2">
        <v>85</v>
      </c>
      <c r="P100" s="2"/>
      <c r="Q100" s="2"/>
      <c r="R100" s="1">
        <v>1</v>
      </c>
      <c r="S100" s="1">
        <v>1</v>
      </c>
      <c r="T100" s="1"/>
      <c r="U100" s="18" t="s">
        <v>13</v>
      </c>
      <c r="V100" s="18">
        <v>6</v>
      </c>
      <c r="W100" s="1" t="s">
        <v>364</v>
      </c>
      <c r="X100" s="26"/>
      <c r="Y100" s="22">
        <f t="shared" si="2"/>
        <v>85</v>
      </c>
      <c r="Z100" s="26"/>
      <c r="AA100" s="20" t="s">
        <v>354</v>
      </c>
      <c r="AB100" s="11" t="s">
        <v>600</v>
      </c>
    </row>
    <row r="101" spans="1:28" s="12" customFormat="1" ht="29.25" customHeight="1">
      <c r="A101" s="26"/>
      <c r="B101" s="2" t="s">
        <v>462</v>
      </c>
      <c r="C101" s="2" t="s">
        <v>133</v>
      </c>
      <c r="D101" s="2" t="s">
        <v>273</v>
      </c>
      <c r="E101" s="2"/>
      <c r="F101" s="2"/>
      <c r="G101" s="2"/>
      <c r="H101" s="2" t="s">
        <v>202</v>
      </c>
      <c r="I101" s="9" t="s">
        <v>303</v>
      </c>
      <c r="J101" s="2"/>
      <c r="K101" s="2">
        <v>144</v>
      </c>
      <c r="L101" s="2">
        <v>613</v>
      </c>
      <c r="M101" s="22" t="s">
        <v>353</v>
      </c>
      <c r="N101" s="22"/>
      <c r="O101" s="2">
        <v>75</v>
      </c>
      <c r="P101" s="2"/>
      <c r="Q101" s="2"/>
      <c r="R101" s="1">
        <v>3</v>
      </c>
      <c r="S101" s="1">
        <v>3</v>
      </c>
      <c r="T101" s="1"/>
      <c r="U101" s="18" t="s">
        <v>13</v>
      </c>
      <c r="V101" s="18">
        <v>6</v>
      </c>
      <c r="W101" s="1" t="s">
        <v>364</v>
      </c>
      <c r="X101" s="26"/>
      <c r="Y101" s="22">
        <f t="shared" si="2"/>
        <v>225</v>
      </c>
      <c r="Z101" s="26"/>
      <c r="AA101" s="20" t="s">
        <v>354</v>
      </c>
      <c r="AB101" s="11" t="s">
        <v>606</v>
      </c>
    </row>
    <row r="102" spans="1:28" s="12" customFormat="1" ht="29.25" customHeight="1">
      <c r="A102" s="26"/>
      <c r="B102" s="2" t="s">
        <v>159</v>
      </c>
      <c r="C102" s="2" t="s">
        <v>158</v>
      </c>
      <c r="D102" s="2"/>
      <c r="E102" s="2"/>
      <c r="F102" s="2"/>
      <c r="G102" s="2"/>
      <c r="H102" s="2" t="s">
        <v>202</v>
      </c>
      <c r="I102" s="9" t="s">
        <v>303</v>
      </c>
      <c r="J102" s="2">
        <v>80</v>
      </c>
      <c r="K102" s="2" t="s">
        <v>595</v>
      </c>
      <c r="L102" s="2">
        <v>646.72</v>
      </c>
      <c r="M102" s="22" t="s">
        <v>353</v>
      </c>
      <c r="N102" s="22"/>
      <c r="O102" s="2">
        <v>25</v>
      </c>
      <c r="P102" s="2"/>
      <c r="Q102" s="2"/>
      <c r="R102" s="1">
        <v>5</v>
      </c>
      <c r="S102" s="1">
        <v>5</v>
      </c>
      <c r="T102" s="1"/>
      <c r="U102" s="18" t="s">
        <v>13</v>
      </c>
      <c r="V102" s="18">
        <v>6</v>
      </c>
      <c r="W102" s="1" t="s">
        <v>364</v>
      </c>
      <c r="X102" s="26"/>
      <c r="Y102" s="22">
        <v>125</v>
      </c>
      <c r="Z102" s="26"/>
      <c r="AA102" s="20" t="s">
        <v>354</v>
      </c>
      <c r="AB102" s="11" t="s">
        <v>596</v>
      </c>
    </row>
    <row r="103" spans="1:28" s="12" customFormat="1" ht="29.25" customHeight="1">
      <c r="A103" s="26"/>
      <c r="B103" s="2" t="s">
        <v>602</v>
      </c>
      <c r="C103" s="2" t="s">
        <v>230</v>
      </c>
      <c r="D103" s="2"/>
      <c r="E103" s="2"/>
      <c r="F103" s="2"/>
      <c r="G103" s="2"/>
      <c r="H103" s="2" t="s">
        <v>202</v>
      </c>
      <c r="I103" s="9" t="s">
        <v>303</v>
      </c>
      <c r="J103" s="2">
        <v>296</v>
      </c>
      <c r="K103" s="2" t="s">
        <v>603</v>
      </c>
      <c r="L103" s="2">
        <v>616.5</v>
      </c>
      <c r="M103" s="22" t="s">
        <v>353</v>
      </c>
      <c r="N103" s="22"/>
      <c r="O103" s="2">
        <v>80</v>
      </c>
      <c r="P103" s="2"/>
      <c r="Q103" s="2"/>
      <c r="R103" s="1">
        <v>1</v>
      </c>
      <c r="S103" s="1">
        <v>1</v>
      </c>
      <c r="T103" s="1"/>
      <c r="U103" s="18" t="s">
        <v>13</v>
      </c>
      <c r="V103" s="18">
        <v>6</v>
      </c>
      <c r="W103" s="1" t="s">
        <v>364</v>
      </c>
      <c r="X103" s="26"/>
      <c r="Y103" s="22">
        <f t="shared" ref="Y103:Y133" si="3">O103*R103</f>
        <v>80</v>
      </c>
      <c r="Z103" s="26"/>
      <c r="AA103" s="20" t="s">
        <v>354</v>
      </c>
      <c r="AB103" s="11" t="s">
        <v>604</v>
      </c>
    </row>
    <row r="104" spans="1:28" s="12" customFormat="1" ht="29.25" customHeight="1">
      <c r="A104" s="26"/>
      <c r="B104" s="2" t="s">
        <v>257</v>
      </c>
      <c r="C104" s="2" t="s">
        <v>258</v>
      </c>
      <c r="D104" s="2" t="s">
        <v>614</v>
      </c>
      <c r="E104" s="2"/>
      <c r="F104" s="2"/>
      <c r="G104" s="2"/>
      <c r="H104" s="2" t="s">
        <v>202</v>
      </c>
      <c r="I104" s="9" t="s">
        <v>303</v>
      </c>
      <c r="J104" s="2">
        <v>176</v>
      </c>
      <c r="K104" s="2" t="s">
        <v>603</v>
      </c>
      <c r="L104" s="2">
        <v>646.72</v>
      </c>
      <c r="M104" s="22" t="s">
        <v>353</v>
      </c>
      <c r="N104" s="22"/>
      <c r="O104" s="2">
        <v>45</v>
      </c>
      <c r="P104" s="2"/>
      <c r="Q104" s="2"/>
      <c r="R104" s="13">
        <v>1</v>
      </c>
      <c r="S104" s="13">
        <v>1</v>
      </c>
      <c r="T104" s="13"/>
      <c r="U104" s="18" t="s">
        <v>13</v>
      </c>
      <c r="V104" s="18">
        <v>6</v>
      </c>
      <c r="W104" s="1" t="s">
        <v>364</v>
      </c>
      <c r="X104" s="26"/>
      <c r="Y104" s="22">
        <f t="shared" si="3"/>
        <v>45</v>
      </c>
      <c r="Z104" s="26"/>
      <c r="AA104" s="20" t="s">
        <v>354</v>
      </c>
      <c r="AB104" s="11" t="s">
        <v>615</v>
      </c>
    </row>
    <row r="105" spans="1:28" s="12" customFormat="1" ht="29.25" customHeight="1">
      <c r="A105" s="26"/>
      <c r="B105" s="2" t="s">
        <v>96</v>
      </c>
      <c r="C105" s="2" t="s">
        <v>95</v>
      </c>
      <c r="D105" s="2"/>
      <c r="E105" s="2"/>
      <c r="F105" s="2"/>
      <c r="G105" s="2"/>
      <c r="H105" s="2" t="s">
        <v>202</v>
      </c>
      <c r="I105" s="9" t="s">
        <v>303</v>
      </c>
      <c r="J105" s="2">
        <v>247</v>
      </c>
      <c r="K105" s="2" t="s">
        <v>607</v>
      </c>
      <c r="L105" s="2"/>
      <c r="M105" s="22" t="s">
        <v>353</v>
      </c>
      <c r="N105" s="22"/>
      <c r="O105" s="2">
        <v>65</v>
      </c>
      <c r="P105" s="2"/>
      <c r="Q105" s="2"/>
      <c r="R105" s="1">
        <v>2</v>
      </c>
      <c r="S105" s="1">
        <v>2</v>
      </c>
      <c r="T105" s="1"/>
      <c r="U105" s="18" t="s">
        <v>13</v>
      </c>
      <c r="V105" s="18">
        <v>6</v>
      </c>
      <c r="W105" s="1" t="s">
        <v>364</v>
      </c>
      <c r="X105" s="26"/>
      <c r="Y105" s="22">
        <f t="shared" si="3"/>
        <v>130</v>
      </c>
      <c r="Z105" s="26"/>
      <c r="AA105" s="20" t="s">
        <v>354</v>
      </c>
      <c r="AB105" s="11"/>
    </row>
    <row r="106" spans="1:28" s="12" customFormat="1" ht="29.25" customHeight="1">
      <c r="A106" s="26"/>
      <c r="B106" s="2" t="s">
        <v>463</v>
      </c>
      <c r="C106" s="2" t="s">
        <v>141</v>
      </c>
      <c r="D106" s="2" t="s">
        <v>605</v>
      </c>
      <c r="E106" s="2"/>
      <c r="F106" s="2"/>
      <c r="G106" s="2"/>
      <c r="H106" s="2" t="s">
        <v>202</v>
      </c>
      <c r="I106" s="9" t="s">
        <v>303</v>
      </c>
      <c r="J106" s="2">
        <v>174</v>
      </c>
      <c r="K106" s="2" t="s">
        <v>603</v>
      </c>
      <c r="L106" s="2"/>
      <c r="M106" s="22" t="s">
        <v>353</v>
      </c>
      <c r="N106" s="22"/>
      <c r="O106" s="2">
        <v>90</v>
      </c>
      <c r="P106" s="2"/>
      <c r="Q106" s="2"/>
      <c r="R106" s="1">
        <v>1</v>
      </c>
      <c r="S106" s="1">
        <v>1</v>
      </c>
      <c r="T106" s="1"/>
      <c r="U106" s="18" t="s">
        <v>13</v>
      </c>
      <c r="V106" s="18">
        <v>6</v>
      </c>
      <c r="W106" s="1" t="s">
        <v>364</v>
      </c>
      <c r="X106" s="26"/>
      <c r="Y106" s="22">
        <f t="shared" si="3"/>
        <v>90</v>
      </c>
      <c r="Z106" s="26"/>
      <c r="AA106" s="20" t="s">
        <v>354</v>
      </c>
      <c r="AB106" s="11"/>
    </row>
    <row r="107" spans="1:28" s="12" customFormat="1" ht="29.25" customHeight="1">
      <c r="A107" s="26"/>
      <c r="B107" s="2" t="s">
        <v>464</v>
      </c>
      <c r="C107" s="2" t="s">
        <v>179</v>
      </c>
      <c r="D107" s="2"/>
      <c r="E107" s="2"/>
      <c r="F107" s="2"/>
      <c r="G107" s="2"/>
      <c r="H107" s="2" t="s">
        <v>202</v>
      </c>
      <c r="I107" s="9" t="s">
        <v>303</v>
      </c>
      <c r="J107" s="2">
        <v>87</v>
      </c>
      <c r="K107" s="2" t="s">
        <v>603</v>
      </c>
      <c r="L107" s="2"/>
      <c r="M107" s="22" t="s">
        <v>353</v>
      </c>
      <c r="N107" s="22"/>
      <c r="O107" s="2">
        <v>25</v>
      </c>
      <c r="P107" s="2"/>
      <c r="Q107" s="2"/>
      <c r="R107" s="1">
        <v>1</v>
      </c>
      <c r="S107" s="1">
        <v>1</v>
      </c>
      <c r="T107" s="1"/>
      <c r="U107" s="18" t="s">
        <v>13</v>
      </c>
      <c r="V107" s="18">
        <v>6</v>
      </c>
      <c r="W107" s="1" t="s">
        <v>364</v>
      </c>
      <c r="X107" s="26"/>
      <c r="Y107" s="22">
        <f t="shared" si="3"/>
        <v>25</v>
      </c>
      <c r="Z107" s="26"/>
      <c r="AA107" s="20" t="s">
        <v>354</v>
      </c>
      <c r="AB107" s="11" t="s">
        <v>645</v>
      </c>
    </row>
    <row r="108" spans="1:28" s="12" customFormat="1" ht="29.25" customHeight="1">
      <c r="A108" s="26"/>
      <c r="B108" s="2" t="s">
        <v>136</v>
      </c>
      <c r="C108" s="2" t="s">
        <v>135</v>
      </c>
      <c r="D108" s="2" t="s">
        <v>610</v>
      </c>
      <c r="E108" s="2"/>
      <c r="F108" s="2"/>
      <c r="G108" s="2"/>
      <c r="H108" s="2" t="s">
        <v>202</v>
      </c>
      <c r="I108" s="9" t="s">
        <v>303</v>
      </c>
      <c r="J108" s="2">
        <v>319</v>
      </c>
      <c r="K108" s="2" t="s">
        <v>603</v>
      </c>
      <c r="L108" s="2">
        <v>613.71</v>
      </c>
      <c r="M108" s="22" t="s">
        <v>353</v>
      </c>
      <c r="N108" s="22"/>
      <c r="O108" s="2">
        <v>80</v>
      </c>
      <c r="P108" s="2"/>
      <c r="Q108" s="2"/>
      <c r="R108" s="1">
        <v>1</v>
      </c>
      <c r="S108" s="1">
        <v>1</v>
      </c>
      <c r="T108" s="1"/>
      <c r="U108" s="18" t="s">
        <v>13</v>
      </c>
      <c r="V108" s="18">
        <v>6</v>
      </c>
      <c r="W108" s="1" t="s">
        <v>364</v>
      </c>
      <c r="X108" s="26"/>
      <c r="Y108" s="22">
        <f t="shared" si="3"/>
        <v>80</v>
      </c>
      <c r="Z108" s="26"/>
      <c r="AA108" s="20" t="s">
        <v>354</v>
      </c>
      <c r="AB108" s="11" t="s">
        <v>611</v>
      </c>
    </row>
    <row r="109" spans="1:28" s="12" customFormat="1" ht="29.25" customHeight="1">
      <c r="A109" s="26"/>
      <c r="B109" s="2" t="s">
        <v>465</v>
      </c>
      <c r="C109" s="2" t="s">
        <v>36</v>
      </c>
      <c r="D109" s="2" t="s">
        <v>612</v>
      </c>
      <c r="E109" s="2"/>
      <c r="F109" s="2"/>
      <c r="G109" s="2"/>
      <c r="H109" s="2" t="s">
        <v>202</v>
      </c>
      <c r="I109" s="9" t="s">
        <v>613</v>
      </c>
      <c r="J109" s="2">
        <v>122</v>
      </c>
      <c r="K109" s="2" t="s">
        <v>603</v>
      </c>
      <c r="L109" s="2"/>
      <c r="M109" s="22" t="s">
        <v>353</v>
      </c>
      <c r="N109" s="22"/>
      <c r="O109" s="2">
        <v>35</v>
      </c>
      <c r="P109" s="2"/>
      <c r="Q109" s="2"/>
      <c r="R109" s="1">
        <v>4</v>
      </c>
      <c r="S109" s="1">
        <v>4</v>
      </c>
      <c r="T109" s="1"/>
      <c r="U109" s="18" t="s">
        <v>13</v>
      </c>
      <c r="V109" s="18">
        <v>6</v>
      </c>
      <c r="W109" s="1" t="s">
        <v>364</v>
      </c>
      <c r="X109" s="26"/>
      <c r="Y109" s="22">
        <f t="shared" si="3"/>
        <v>140</v>
      </c>
      <c r="Z109" s="26"/>
      <c r="AA109" s="20" t="s">
        <v>354</v>
      </c>
      <c r="AB109" s="11"/>
    </row>
    <row r="110" spans="1:28" s="12" customFormat="1" ht="29.25" customHeight="1">
      <c r="A110" s="26"/>
      <c r="B110" s="2" t="s">
        <v>466</v>
      </c>
      <c r="C110" s="2" t="s">
        <v>104</v>
      </c>
      <c r="D110" s="2" t="s">
        <v>273</v>
      </c>
      <c r="E110" s="2"/>
      <c r="F110" s="2"/>
      <c r="G110" s="2"/>
      <c r="H110" s="2" t="s">
        <v>202</v>
      </c>
      <c r="I110" s="9" t="s">
        <v>303</v>
      </c>
      <c r="J110" s="2">
        <v>112</v>
      </c>
      <c r="K110" s="2" t="s">
        <v>594</v>
      </c>
      <c r="L110" s="2">
        <v>613.20000000000005</v>
      </c>
      <c r="M110" s="22" t="s">
        <v>353</v>
      </c>
      <c r="N110" s="22"/>
      <c r="O110" s="2">
        <v>30</v>
      </c>
      <c r="P110" s="2"/>
      <c r="Q110" s="2"/>
      <c r="R110" s="1">
        <v>6</v>
      </c>
      <c r="S110" s="1">
        <v>6</v>
      </c>
      <c r="T110" s="1"/>
      <c r="U110" s="18" t="s">
        <v>13</v>
      </c>
      <c r="V110" s="18">
        <v>6</v>
      </c>
      <c r="W110" s="1" t="s">
        <v>364</v>
      </c>
      <c r="X110" s="26"/>
      <c r="Y110" s="22">
        <f t="shared" si="3"/>
        <v>180</v>
      </c>
      <c r="Z110" s="26"/>
      <c r="AA110" s="20" t="s">
        <v>354</v>
      </c>
      <c r="AB110" s="11" t="s">
        <v>609</v>
      </c>
    </row>
    <row r="111" spans="1:28" s="12" customFormat="1" ht="29.25" customHeight="1">
      <c r="A111" s="26"/>
      <c r="B111" s="2" t="s">
        <v>467</v>
      </c>
      <c r="C111" s="2" t="s">
        <v>16</v>
      </c>
      <c r="D111" s="2" t="s">
        <v>593</v>
      </c>
      <c r="E111" s="2"/>
      <c r="F111" s="2"/>
      <c r="G111" s="2"/>
      <c r="H111" s="2" t="s">
        <v>202</v>
      </c>
      <c r="I111" s="9" t="s">
        <v>303</v>
      </c>
      <c r="J111" s="2">
        <v>455</v>
      </c>
      <c r="K111" s="2" t="s">
        <v>594</v>
      </c>
      <c r="L111" s="2"/>
      <c r="M111" s="22" t="s">
        <v>353</v>
      </c>
      <c r="N111" s="22"/>
      <c r="O111" s="2">
        <v>230</v>
      </c>
      <c r="P111" s="2"/>
      <c r="Q111" s="2"/>
      <c r="R111" s="1">
        <v>7</v>
      </c>
      <c r="S111" s="1">
        <v>7</v>
      </c>
      <c r="T111" s="1"/>
      <c r="U111" s="18" t="s">
        <v>13</v>
      </c>
      <c r="V111" s="18">
        <v>6</v>
      </c>
      <c r="W111" s="1" t="s">
        <v>364</v>
      </c>
      <c r="X111" s="26"/>
      <c r="Y111" s="22">
        <f t="shared" si="3"/>
        <v>1610</v>
      </c>
      <c r="Z111" s="26"/>
      <c r="AA111" s="20" t="s">
        <v>354</v>
      </c>
      <c r="AB111" s="11"/>
    </row>
    <row r="112" spans="1:28" s="12" customFormat="1" ht="29.25" customHeight="1">
      <c r="A112" s="26"/>
      <c r="B112" s="2" t="s">
        <v>213</v>
      </c>
      <c r="C112" s="2" t="s">
        <v>214</v>
      </c>
      <c r="D112" s="2"/>
      <c r="E112" s="2"/>
      <c r="F112" s="2"/>
      <c r="G112" s="2"/>
      <c r="H112" s="2" t="s">
        <v>202</v>
      </c>
      <c r="I112" s="9" t="s">
        <v>591</v>
      </c>
      <c r="J112" s="2">
        <v>423</v>
      </c>
      <c r="K112" s="2" t="s">
        <v>594</v>
      </c>
      <c r="L112" s="2">
        <v>613.20000000000005</v>
      </c>
      <c r="M112" s="22" t="s">
        <v>353</v>
      </c>
      <c r="N112" s="22"/>
      <c r="O112" s="2">
        <v>230</v>
      </c>
      <c r="P112" s="2"/>
      <c r="Q112" s="2"/>
      <c r="R112" s="1">
        <v>1</v>
      </c>
      <c r="S112" s="1">
        <v>1</v>
      </c>
      <c r="T112" s="1"/>
      <c r="U112" s="18" t="s">
        <v>13</v>
      </c>
      <c r="V112" s="18">
        <v>6</v>
      </c>
      <c r="W112" s="1" t="s">
        <v>365</v>
      </c>
      <c r="X112" s="26"/>
      <c r="Y112" s="22">
        <f t="shared" si="3"/>
        <v>230</v>
      </c>
      <c r="Z112" s="26"/>
      <c r="AA112" s="20" t="s">
        <v>354</v>
      </c>
      <c r="AB112" s="11" t="s">
        <v>601</v>
      </c>
    </row>
    <row r="113" spans="1:28" s="12" customFormat="1" ht="29.25" customHeight="1">
      <c r="A113" s="26"/>
      <c r="B113" s="2" t="s">
        <v>197</v>
      </c>
      <c r="C113" s="2" t="s">
        <v>133</v>
      </c>
      <c r="D113" s="2" t="s">
        <v>305</v>
      </c>
      <c r="E113" s="2"/>
      <c r="F113" s="2"/>
      <c r="G113" s="2"/>
      <c r="H113" s="2" t="s">
        <v>202</v>
      </c>
      <c r="I113" s="9" t="s">
        <v>303</v>
      </c>
      <c r="J113" s="2">
        <v>88</v>
      </c>
      <c r="K113" s="2" t="s">
        <v>607</v>
      </c>
      <c r="L113" s="2">
        <v>610.71100000000001</v>
      </c>
      <c r="M113" s="22" t="s">
        <v>353</v>
      </c>
      <c r="N113" s="22"/>
      <c r="O113" s="2">
        <v>40</v>
      </c>
      <c r="P113" s="2"/>
      <c r="Q113" s="2"/>
      <c r="R113" s="1">
        <v>1</v>
      </c>
      <c r="S113" s="1">
        <v>1</v>
      </c>
      <c r="T113" s="1"/>
      <c r="U113" s="18" t="s">
        <v>13</v>
      </c>
      <c r="V113" s="18">
        <v>6</v>
      </c>
      <c r="W113" s="1" t="s">
        <v>364</v>
      </c>
      <c r="X113" s="26"/>
      <c r="Y113" s="22">
        <f t="shared" si="3"/>
        <v>40</v>
      </c>
      <c r="Z113" s="26"/>
      <c r="AA113" s="20" t="s">
        <v>354</v>
      </c>
      <c r="AB113" s="11" t="s">
        <v>608</v>
      </c>
    </row>
    <row r="114" spans="1:28" s="12" customFormat="1" ht="29.25" customHeight="1">
      <c r="A114" s="26"/>
      <c r="B114" s="2" t="s">
        <v>196</v>
      </c>
      <c r="C114" s="2" t="s">
        <v>133</v>
      </c>
      <c r="D114" s="2" t="s">
        <v>583</v>
      </c>
      <c r="E114" s="2"/>
      <c r="F114" s="2"/>
      <c r="G114" s="2"/>
      <c r="H114" s="2" t="s">
        <v>202</v>
      </c>
      <c r="I114" s="9" t="s">
        <v>303</v>
      </c>
      <c r="J114" s="2">
        <v>64</v>
      </c>
      <c r="K114" s="2"/>
      <c r="L114" s="2">
        <v>616.02520000000004</v>
      </c>
      <c r="M114" s="22" t="s">
        <v>353</v>
      </c>
      <c r="N114" s="22"/>
      <c r="O114" s="2">
        <v>35</v>
      </c>
      <c r="P114" s="2"/>
      <c r="Q114" s="2"/>
      <c r="R114" s="1">
        <v>2</v>
      </c>
      <c r="S114" s="1">
        <v>2</v>
      </c>
      <c r="T114" s="1"/>
      <c r="U114" s="18" t="s">
        <v>13</v>
      </c>
      <c r="V114" s="18">
        <v>7</v>
      </c>
      <c r="W114" s="1" t="s">
        <v>364</v>
      </c>
      <c r="X114" s="26"/>
      <c r="Y114" s="22">
        <f t="shared" si="3"/>
        <v>70</v>
      </c>
      <c r="Z114" s="26"/>
      <c r="AA114" s="20" t="s">
        <v>354</v>
      </c>
      <c r="AB114" s="11" t="s">
        <v>686</v>
      </c>
    </row>
    <row r="115" spans="1:28" s="12" customFormat="1" ht="29.25" customHeight="1">
      <c r="A115" s="26"/>
      <c r="B115" s="2" t="s">
        <v>287</v>
      </c>
      <c r="C115" s="2" t="s">
        <v>674</v>
      </c>
      <c r="D115" s="2" t="s">
        <v>288</v>
      </c>
      <c r="E115" s="2"/>
      <c r="F115" s="2"/>
      <c r="G115" s="2"/>
      <c r="H115" s="2" t="s">
        <v>202</v>
      </c>
      <c r="I115" s="9"/>
      <c r="J115" s="2">
        <v>288</v>
      </c>
      <c r="K115" s="2" t="s">
        <v>648</v>
      </c>
      <c r="L115" s="2">
        <v>616.02520000000004</v>
      </c>
      <c r="M115" s="22" t="s">
        <v>353</v>
      </c>
      <c r="N115" s="22"/>
      <c r="O115" s="2">
        <v>150</v>
      </c>
      <c r="P115" s="2"/>
      <c r="Q115" s="2"/>
      <c r="R115" s="13">
        <v>1</v>
      </c>
      <c r="S115" s="13">
        <v>1</v>
      </c>
      <c r="T115" s="13"/>
      <c r="U115" s="18" t="s">
        <v>13</v>
      </c>
      <c r="V115" s="18">
        <v>7</v>
      </c>
      <c r="W115" s="1" t="s">
        <v>364</v>
      </c>
      <c r="X115" s="26"/>
      <c r="Y115" s="22">
        <f t="shared" si="3"/>
        <v>150</v>
      </c>
      <c r="Z115" s="26"/>
      <c r="AA115" s="20" t="s">
        <v>354</v>
      </c>
      <c r="AB115" s="11" t="s">
        <v>675</v>
      </c>
    </row>
    <row r="116" spans="1:28" s="12" customFormat="1" ht="29.25" customHeight="1">
      <c r="A116" s="26"/>
      <c r="B116" s="2" t="s">
        <v>209</v>
      </c>
      <c r="C116" s="2" t="s">
        <v>663</v>
      </c>
      <c r="D116" s="2" t="s">
        <v>194</v>
      </c>
      <c r="E116" s="2"/>
      <c r="F116" s="2"/>
      <c r="G116" s="2"/>
      <c r="H116" s="2" t="s">
        <v>202</v>
      </c>
      <c r="I116" s="9" t="s">
        <v>303</v>
      </c>
      <c r="J116" s="2">
        <v>72</v>
      </c>
      <c r="K116" s="27"/>
      <c r="L116" s="2">
        <v>616.25199999999995</v>
      </c>
      <c r="M116" s="22" t="s">
        <v>353</v>
      </c>
      <c r="N116" s="22"/>
      <c r="O116" s="2">
        <v>25</v>
      </c>
      <c r="P116" s="2"/>
      <c r="Q116" s="2"/>
      <c r="R116" s="1">
        <v>1</v>
      </c>
      <c r="S116" s="1">
        <v>1</v>
      </c>
      <c r="T116" s="1"/>
      <c r="U116" s="18" t="s">
        <v>13</v>
      </c>
      <c r="V116" s="18">
        <v>7</v>
      </c>
      <c r="W116" s="1" t="s">
        <v>364</v>
      </c>
      <c r="X116" s="26"/>
      <c r="Y116" s="22">
        <f t="shared" si="3"/>
        <v>25</v>
      </c>
      <c r="Z116" s="26"/>
      <c r="AA116" s="20" t="s">
        <v>354</v>
      </c>
      <c r="AB116" s="11" t="s">
        <v>664</v>
      </c>
    </row>
    <row r="117" spans="1:28" s="12" customFormat="1" ht="29.25" customHeight="1">
      <c r="A117" s="26"/>
      <c r="B117" s="2" t="s">
        <v>146</v>
      </c>
      <c r="C117" s="2" t="s">
        <v>145</v>
      </c>
      <c r="D117" s="2"/>
      <c r="E117" s="2"/>
      <c r="F117" s="2"/>
      <c r="G117" s="2"/>
      <c r="H117" s="2" t="s">
        <v>202</v>
      </c>
      <c r="I117" s="9" t="s">
        <v>303</v>
      </c>
      <c r="J117" s="2">
        <v>43</v>
      </c>
      <c r="K117" s="2" t="s">
        <v>648</v>
      </c>
      <c r="L117" s="2">
        <v>616.02520000000004</v>
      </c>
      <c r="M117" s="22" t="s">
        <v>353</v>
      </c>
      <c r="N117" s="22"/>
      <c r="O117" s="2">
        <v>15</v>
      </c>
      <c r="P117" s="2"/>
      <c r="Q117" s="2"/>
      <c r="R117" s="1">
        <v>1</v>
      </c>
      <c r="S117" s="1">
        <v>1</v>
      </c>
      <c r="T117" s="1"/>
      <c r="U117" s="18" t="s">
        <v>13</v>
      </c>
      <c r="V117" s="18">
        <v>7</v>
      </c>
      <c r="W117" s="1" t="s">
        <v>364</v>
      </c>
      <c r="X117" s="26"/>
      <c r="Y117" s="22">
        <f t="shared" si="3"/>
        <v>15</v>
      </c>
      <c r="Z117" s="26"/>
      <c r="AA117" s="20" t="s">
        <v>354</v>
      </c>
      <c r="AB117" s="11" t="s">
        <v>665</v>
      </c>
    </row>
    <row r="118" spans="1:28" s="12" customFormat="1" ht="29.25" customHeight="1">
      <c r="A118" s="26"/>
      <c r="B118" s="2" t="s">
        <v>236</v>
      </c>
      <c r="C118" s="2" t="s">
        <v>132</v>
      </c>
      <c r="D118" s="2" t="s">
        <v>683</v>
      </c>
      <c r="E118" s="2"/>
      <c r="F118" s="2"/>
      <c r="G118" s="2"/>
      <c r="H118" s="2" t="s">
        <v>202</v>
      </c>
      <c r="I118" s="9"/>
      <c r="J118" s="2">
        <v>110</v>
      </c>
      <c r="K118" s="2"/>
      <c r="L118" s="2">
        <v>616.25199999999995</v>
      </c>
      <c r="M118" s="22" t="s">
        <v>353</v>
      </c>
      <c r="N118" s="22"/>
      <c r="O118" s="2">
        <v>30</v>
      </c>
      <c r="P118" s="2"/>
      <c r="Q118" s="2"/>
      <c r="R118" s="1">
        <v>2</v>
      </c>
      <c r="S118" s="1">
        <v>2</v>
      </c>
      <c r="T118" s="1"/>
      <c r="U118" s="18" t="s">
        <v>13</v>
      </c>
      <c r="V118" s="18">
        <v>7</v>
      </c>
      <c r="W118" s="1" t="s">
        <v>364</v>
      </c>
      <c r="X118" s="26"/>
      <c r="Y118" s="22">
        <f t="shared" si="3"/>
        <v>60</v>
      </c>
      <c r="Z118" s="26"/>
      <c r="AA118" s="20" t="s">
        <v>354</v>
      </c>
      <c r="AB118" s="11" t="s">
        <v>684</v>
      </c>
    </row>
    <row r="119" spans="1:28" s="12" customFormat="1" ht="29.25" customHeight="1">
      <c r="A119" s="26"/>
      <c r="B119" s="2" t="s">
        <v>210</v>
      </c>
      <c r="C119" s="2" t="s">
        <v>211</v>
      </c>
      <c r="D119" s="2"/>
      <c r="E119" s="2"/>
      <c r="F119" s="2"/>
      <c r="G119" s="2"/>
      <c r="H119" s="2" t="s">
        <v>202</v>
      </c>
      <c r="I119" s="9" t="s">
        <v>303</v>
      </c>
      <c r="J119" s="2">
        <v>165</v>
      </c>
      <c r="K119" s="2"/>
      <c r="L119" s="2"/>
      <c r="M119" s="22" t="s">
        <v>353</v>
      </c>
      <c r="N119" s="22"/>
      <c r="O119" s="2">
        <v>85</v>
      </c>
      <c r="P119" s="2"/>
      <c r="Q119" s="2"/>
      <c r="R119" s="1">
        <v>1</v>
      </c>
      <c r="S119" s="1">
        <v>1</v>
      </c>
      <c r="T119" s="1"/>
      <c r="U119" s="18" t="s">
        <v>13</v>
      </c>
      <c r="V119" s="18">
        <v>7</v>
      </c>
      <c r="W119" s="1" t="s">
        <v>364</v>
      </c>
      <c r="X119" s="26"/>
      <c r="Y119" s="22">
        <f t="shared" si="3"/>
        <v>85</v>
      </c>
      <c r="Z119" s="26"/>
      <c r="AA119" s="20" t="s">
        <v>354</v>
      </c>
      <c r="AB119" s="11" t="s">
        <v>679</v>
      </c>
    </row>
    <row r="120" spans="1:28" s="12" customFormat="1" ht="29.25" customHeight="1">
      <c r="A120" s="26"/>
      <c r="B120" s="2" t="s">
        <v>468</v>
      </c>
      <c r="C120" s="2" t="s">
        <v>144</v>
      </c>
      <c r="D120" s="2" t="s">
        <v>273</v>
      </c>
      <c r="E120" s="2"/>
      <c r="F120" s="2"/>
      <c r="G120" s="2"/>
      <c r="H120" s="2" t="s">
        <v>202</v>
      </c>
      <c r="I120" s="9" t="s">
        <v>303</v>
      </c>
      <c r="J120" s="2">
        <v>121</v>
      </c>
      <c r="K120" s="2"/>
      <c r="L120" s="2"/>
      <c r="M120" s="22" t="s">
        <v>353</v>
      </c>
      <c r="N120" s="22"/>
      <c r="O120" s="2">
        <v>30</v>
      </c>
      <c r="P120" s="2"/>
      <c r="Q120" s="2"/>
      <c r="R120" s="13">
        <v>4</v>
      </c>
      <c r="S120" s="13">
        <v>4</v>
      </c>
      <c r="T120" s="13"/>
      <c r="U120" s="18" t="s">
        <v>13</v>
      </c>
      <c r="V120" s="18">
        <v>7</v>
      </c>
      <c r="W120" s="1" t="s">
        <v>364</v>
      </c>
      <c r="X120" s="26"/>
      <c r="Y120" s="22">
        <f t="shared" si="3"/>
        <v>120</v>
      </c>
      <c r="Z120" s="26"/>
      <c r="AA120" s="20" t="s">
        <v>354</v>
      </c>
      <c r="AB120" s="11" t="s">
        <v>685</v>
      </c>
    </row>
    <row r="121" spans="1:28" s="12" customFormat="1" ht="29.25" customHeight="1">
      <c r="A121" s="26"/>
      <c r="B121" s="2" t="s">
        <v>469</v>
      </c>
      <c r="C121" s="2" t="s">
        <v>117</v>
      </c>
      <c r="D121" s="2"/>
      <c r="E121" s="2"/>
      <c r="F121" s="2"/>
      <c r="G121" s="2"/>
      <c r="H121" s="2" t="s">
        <v>202</v>
      </c>
      <c r="I121" s="9"/>
      <c r="J121" s="2">
        <v>238</v>
      </c>
      <c r="K121" s="2"/>
      <c r="L121" s="2">
        <v>616.02499999999998</v>
      </c>
      <c r="M121" s="22" t="s">
        <v>353</v>
      </c>
      <c r="N121" s="22"/>
      <c r="O121" s="2">
        <v>130</v>
      </c>
      <c r="P121" s="2"/>
      <c r="Q121" s="2"/>
      <c r="R121" s="1">
        <v>1</v>
      </c>
      <c r="S121" s="1">
        <v>1</v>
      </c>
      <c r="T121" s="1"/>
      <c r="U121" s="18" t="s">
        <v>13</v>
      </c>
      <c r="V121" s="18">
        <v>7</v>
      </c>
      <c r="W121" s="1" t="s">
        <v>364</v>
      </c>
      <c r="X121" s="26"/>
      <c r="Y121" s="22">
        <f t="shared" si="3"/>
        <v>130</v>
      </c>
      <c r="Z121" s="26"/>
      <c r="AA121" s="20" t="s">
        <v>354</v>
      </c>
      <c r="AB121" s="11" t="s">
        <v>680</v>
      </c>
    </row>
    <row r="122" spans="1:28" s="12" customFormat="1" ht="29.25" customHeight="1">
      <c r="A122" s="26"/>
      <c r="B122" s="2" t="s">
        <v>470</v>
      </c>
      <c r="C122" s="2" t="s">
        <v>116</v>
      </c>
      <c r="D122" s="2" t="s">
        <v>647</v>
      </c>
      <c r="E122" s="2"/>
      <c r="F122" s="2"/>
      <c r="G122" s="2"/>
      <c r="H122" s="2" t="s">
        <v>202</v>
      </c>
      <c r="I122" s="9" t="s">
        <v>303</v>
      </c>
      <c r="J122" s="2">
        <v>642</v>
      </c>
      <c r="K122" s="2" t="s">
        <v>648</v>
      </c>
      <c r="L122" s="2"/>
      <c r="M122" s="22" t="s">
        <v>353</v>
      </c>
      <c r="N122" s="22"/>
      <c r="O122" s="2">
        <v>330</v>
      </c>
      <c r="P122" s="2"/>
      <c r="Q122" s="2"/>
      <c r="R122" s="1">
        <v>1</v>
      </c>
      <c r="S122" s="1">
        <v>1</v>
      </c>
      <c r="T122" s="1"/>
      <c r="U122" s="18" t="s">
        <v>13</v>
      </c>
      <c r="V122" s="18">
        <v>7</v>
      </c>
      <c r="W122" s="1" t="s">
        <v>365</v>
      </c>
      <c r="X122" s="26"/>
      <c r="Y122" s="22">
        <f t="shared" si="3"/>
        <v>330</v>
      </c>
      <c r="Z122" s="26"/>
      <c r="AA122" s="20" t="s">
        <v>354</v>
      </c>
      <c r="AB122" s="11"/>
    </row>
    <row r="123" spans="1:28" s="12" customFormat="1" ht="29.25" customHeight="1">
      <c r="A123" s="26"/>
      <c r="B123" s="2" t="s">
        <v>471</v>
      </c>
      <c r="C123" s="2" t="s">
        <v>238</v>
      </c>
      <c r="D123" s="2" t="s">
        <v>660</v>
      </c>
      <c r="E123" s="2"/>
      <c r="F123" s="2"/>
      <c r="G123" s="2"/>
      <c r="H123" s="2" t="s">
        <v>202</v>
      </c>
      <c r="I123" s="9" t="s">
        <v>359</v>
      </c>
      <c r="J123" s="2">
        <v>845</v>
      </c>
      <c r="K123" s="2" t="s">
        <v>661</v>
      </c>
      <c r="L123" s="2">
        <v>150</v>
      </c>
      <c r="M123" s="22" t="s">
        <v>353</v>
      </c>
      <c r="N123" s="22"/>
      <c r="O123" s="2">
        <v>430</v>
      </c>
      <c r="P123" s="2"/>
      <c r="Q123" s="2"/>
      <c r="R123" s="1">
        <v>1</v>
      </c>
      <c r="S123" s="1">
        <v>2</v>
      </c>
      <c r="T123" s="1"/>
      <c r="U123" s="18" t="s">
        <v>13</v>
      </c>
      <c r="V123" s="18">
        <v>7</v>
      </c>
      <c r="W123" s="1" t="s">
        <v>364</v>
      </c>
      <c r="X123" s="26"/>
      <c r="Y123" s="22">
        <f t="shared" si="3"/>
        <v>430</v>
      </c>
      <c r="Z123" s="26"/>
      <c r="AA123" s="20" t="s">
        <v>354</v>
      </c>
      <c r="AB123" s="11" t="s">
        <v>662</v>
      </c>
    </row>
    <row r="124" spans="1:28" s="12" customFormat="1" ht="29.25" customHeight="1">
      <c r="A124" s="26"/>
      <c r="B124" s="2" t="s">
        <v>307</v>
      </c>
      <c r="C124" s="2" t="s">
        <v>308</v>
      </c>
      <c r="D124" s="2" t="s">
        <v>676</v>
      </c>
      <c r="E124" s="2"/>
      <c r="F124" s="2"/>
      <c r="G124" s="2"/>
      <c r="H124" s="2" t="s">
        <v>202</v>
      </c>
      <c r="I124" s="9" t="s">
        <v>677</v>
      </c>
      <c r="J124" s="2">
        <v>184</v>
      </c>
      <c r="K124" s="2" t="s">
        <v>661</v>
      </c>
      <c r="L124" s="2"/>
      <c r="M124" s="22" t="s">
        <v>353</v>
      </c>
      <c r="N124" s="22"/>
      <c r="O124" s="2">
        <v>100</v>
      </c>
      <c r="P124" s="2"/>
      <c r="Q124" s="2"/>
      <c r="R124" s="1">
        <v>2</v>
      </c>
      <c r="S124" s="1">
        <v>2</v>
      </c>
      <c r="T124" s="1"/>
      <c r="U124" s="18" t="s">
        <v>13</v>
      </c>
      <c r="V124" s="18">
        <v>7</v>
      </c>
      <c r="W124" s="1" t="s">
        <v>364</v>
      </c>
      <c r="X124" s="26"/>
      <c r="Y124" s="22">
        <f t="shared" si="3"/>
        <v>200</v>
      </c>
      <c r="Z124" s="26"/>
      <c r="AA124" s="20" t="s">
        <v>354</v>
      </c>
      <c r="AB124" s="11" t="s">
        <v>678</v>
      </c>
    </row>
    <row r="125" spans="1:28" s="12" customFormat="1" ht="29.25" customHeight="1">
      <c r="A125" s="26"/>
      <c r="B125" s="2" t="s">
        <v>472</v>
      </c>
      <c r="C125" s="2" t="s">
        <v>4</v>
      </c>
      <c r="D125" s="2"/>
      <c r="E125" s="2"/>
      <c r="F125" s="2"/>
      <c r="G125" s="2"/>
      <c r="H125" s="2" t="s">
        <v>202</v>
      </c>
      <c r="I125" s="9" t="s">
        <v>303</v>
      </c>
      <c r="J125" s="2">
        <v>344</v>
      </c>
      <c r="K125" s="2" t="s">
        <v>658</v>
      </c>
      <c r="L125" s="2">
        <v>616.85500000000002</v>
      </c>
      <c r="M125" s="22" t="s">
        <v>353</v>
      </c>
      <c r="N125" s="22"/>
      <c r="O125" s="2">
        <v>180</v>
      </c>
      <c r="P125" s="2"/>
      <c r="Q125" s="2"/>
      <c r="R125" s="1">
        <v>1</v>
      </c>
      <c r="S125" s="1">
        <v>1</v>
      </c>
      <c r="T125" s="1"/>
      <c r="U125" s="18" t="s">
        <v>13</v>
      </c>
      <c r="V125" s="18">
        <v>7</v>
      </c>
      <c r="W125" s="1" t="s">
        <v>364</v>
      </c>
      <c r="X125" s="26"/>
      <c r="Y125" s="22">
        <f t="shared" si="3"/>
        <v>180</v>
      </c>
      <c r="Z125" s="26"/>
      <c r="AA125" s="20" t="s">
        <v>354</v>
      </c>
      <c r="AB125" s="11" t="s">
        <v>659</v>
      </c>
    </row>
    <row r="126" spans="1:28" s="12" customFormat="1" ht="29.25" customHeight="1">
      <c r="A126" s="26"/>
      <c r="B126" s="2" t="s">
        <v>339</v>
      </c>
      <c r="C126" s="2" t="s">
        <v>340</v>
      </c>
      <c r="D126" s="2" t="s">
        <v>666</v>
      </c>
      <c r="E126" s="2"/>
      <c r="F126" s="2"/>
      <c r="G126" s="2"/>
      <c r="H126" s="2" t="s">
        <v>202</v>
      </c>
      <c r="I126" s="9" t="s">
        <v>303</v>
      </c>
      <c r="J126" s="2">
        <v>128</v>
      </c>
      <c r="K126" s="2" t="s">
        <v>658</v>
      </c>
      <c r="L126" s="2"/>
      <c r="M126" s="22" t="s">
        <v>353</v>
      </c>
      <c r="N126" s="22"/>
      <c r="O126" s="2">
        <v>35</v>
      </c>
      <c r="P126" s="2"/>
      <c r="Q126" s="2"/>
      <c r="R126" s="1">
        <v>1</v>
      </c>
      <c r="S126" s="1">
        <v>1</v>
      </c>
      <c r="T126" s="1"/>
      <c r="U126" s="18" t="s">
        <v>13</v>
      </c>
      <c r="V126" s="18">
        <v>7</v>
      </c>
      <c r="W126" s="1" t="s">
        <v>364</v>
      </c>
      <c r="X126" s="26"/>
      <c r="Y126" s="22">
        <f t="shared" si="3"/>
        <v>35</v>
      </c>
      <c r="Z126" s="26"/>
      <c r="AA126" s="20" t="s">
        <v>354</v>
      </c>
      <c r="AB126" s="11"/>
    </row>
    <row r="127" spans="1:28" s="12" customFormat="1" ht="29.25" customHeight="1">
      <c r="A127" s="26"/>
      <c r="B127" s="2" t="s">
        <v>70</v>
      </c>
      <c r="C127" s="2" t="s">
        <v>649</v>
      </c>
      <c r="D127" s="2" t="s">
        <v>69</v>
      </c>
      <c r="E127" s="2"/>
      <c r="F127" s="2"/>
      <c r="G127" s="2"/>
      <c r="H127" s="2" t="s">
        <v>202</v>
      </c>
      <c r="I127" s="9" t="s">
        <v>303</v>
      </c>
      <c r="J127" s="2">
        <v>161</v>
      </c>
      <c r="K127" s="2" t="s">
        <v>650</v>
      </c>
      <c r="L127" s="2"/>
      <c r="M127" s="22" t="s">
        <v>353</v>
      </c>
      <c r="N127" s="22"/>
      <c r="O127" s="2">
        <v>85</v>
      </c>
      <c r="P127" s="2"/>
      <c r="Q127" s="2"/>
      <c r="R127" s="1">
        <v>1</v>
      </c>
      <c r="S127" s="1">
        <v>1</v>
      </c>
      <c r="T127" s="1"/>
      <c r="U127" s="18" t="s">
        <v>13</v>
      </c>
      <c r="V127" s="18">
        <v>7</v>
      </c>
      <c r="W127" s="1" t="s">
        <v>364</v>
      </c>
      <c r="X127" s="26"/>
      <c r="Y127" s="22">
        <f t="shared" si="3"/>
        <v>85</v>
      </c>
      <c r="Z127" s="26"/>
      <c r="AA127" s="20" t="s">
        <v>354</v>
      </c>
      <c r="AB127" s="11" t="s">
        <v>651</v>
      </c>
    </row>
    <row r="128" spans="1:28" s="12" customFormat="1" ht="29.25" customHeight="1">
      <c r="A128" s="26"/>
      <c r="B128" s="2" t="s">
        <v>473</v>
      </c>
      <c r="C128" s="2" t="s">
        <v>292</v>
      </c>
      <c r="D128" s="2"/>
      <c r="E128" s="2"/>
      <c r="F128" s="2"/>
      <c r="G128" s="2"/>
      <c r="H128" s="2" t="s">
        <v>202</v>
      </c>
      <c r="I128" s="9" t="s">
        <v>303</v>
      </c>
      <c r="J128" s="2">
        <v>292</v>
      </c>
      <c r="K128" s="2"/>
      <c r="L128" s="2">
        <v>616.9</v>
      </c>
      <c r="M128" s="22" t="s">
        <v>353</v>
      </c>
      <c r="N128" s="22"/>
      <c r="O128" s="2">
        <v>150</v>
      </c>
      <c r="P128" s="2"/>
      <c r="Q128" s="2"/>
      <c r="R128" s="1">
        <v>1</v>
      </c>
      <c r="S128" s="1">
        <v>1</v>
      </c>
      <c r="T128" s="1"/>
      <c r="U128" s="18" t="s">
        <v>13</v>
      </c>
      <c r="V128" s="18">
        <v>7</v>
      </c>
      <c r="W128" s="1" t="s">
        <v>364</v>
      </c>
      <c r="X128" s="26"/>
      <c r="Y128" s="22">
        <f t="shared" si="3"/>
        <v>150</v>
      </c>
      <c r="Z128" s="26"/>
      <c r="AA128" s="20" t="s">
        <v>354</v>
      </c>
      <c r="AB128" s="11" t="s">
        <v>682</v>
      </c>
    </row>
    <row r="129" spans="1:28" s="12" customFormat="1" ht="29.25" customHeight="1">
      <c r="A129" s="26"/>
      <c r="B129" s="2" t="s">
        <v>474</v>
      </c>
      <c r="C129" s="2" t="s">
        <v>71</v>
      </c>
      <c r="D129" s="2" t="s">
        <v>669</v>
      </c>
      <c r="E129" s="2"/>
      <c r="F129" s="2"/>
      <c r="G129" s="2"/>
      <c r="H129" s="2" t="s">
        <v>202</v>
      </c>
      <c r="I129" s="9" t="s">
        <v>303</v>
      </c>
      <c r="J129" s="2">
        <v>248</v>
      </c>
      <c r="K129" s="2" t="s">
        <v>653</v>
      </c>
      <c r="L129" s="2">
        <v>616.9</v>
      </c>
      <c r="M129" s="22" t="s">
        <v>353</v>
      </c>
      <c r="N129" s="22"/>
      <c r="O129" s="2">
        <v>65</v>
      </c>
      <c r="P129" s="2"/>
      <c r="Q129" s="2"/>
      <c r="R129" s="1">
        <v>1</v>
      </c>
      <c r="S129" s="1">
        <v>1</v>
      </c>
      <c r="T129" s="1"/>
      <c r="U129" s="18" t="s">
        <v>13</v>
      </c>
      <c r="V129" s="18">
        <v>7</v>
      </c>
      <c r="W129" s="1" t="s">
        <v>364</v>
      </c>
      <c r="X129" s="26"/>
      <c r="Y129" s="22">
        <f t="shared" si="3"/>
        <v>65</v>
      </c>
      <c r="Z129" s="26"/>
      <c r="AA129" s="20" t="s">
        <v>354</v>
      </c>
      <c r="AB129" s="11" t="s">
        <v>670</v>
      </c>
    </row>
    <row r="130" spans="1:28" s="12" customFormat="1" ht="29.25" customHeight="1">
      <c r="A130" s="26"/>
      <c r="B130" s="2" t="s">
        <v>655</v>
      </c>
      <c r="C130" s="2" t="s">
        <v>170</v>
      </c>
      <c r="D130" s="2" t="s">
        <v>652</v>
      </c>
      <c r="E130" s="2"/>
      <c r="F130" s="2"/>
      <c r="G130" s="2"/>
      <c r="H130" s="2" t="s">
        <v>202</v>
      </c>
      <c r="I130" s="9" t="s">
        <v>359</v>
      </c>
      <c r="J130" s="2">
        <v>980</v>
      </c>
      <c r="K130" s="2" t="s">
        <v>653</v>
      </c>
      <c r="L130" s="2">
        <v>616.91999999999996</v>
      </c>
      <c r="M130" s="22" t="s">
        <v>353</v>
      </c>
      <c r="N130" s="22"/>
      <c r="O130" s="2">
        <v>500</v>
      </c>
      <c r="P130" s="2"/>
      <c r="Q130" s="2"/>
      <c r="R130" s="13">
        <v>1</v>
      </c>
      <c r="S130" s="13">
        <v>2</v>
      </c>
      <c r="T130" s="13"/>
      <c r="U130" s="18" t="s">
        <v>13</v>
      </c>
      <c r="V130" s="18">
        <v>7</v>
      </c>
      <c r="W130" s="1" t="s">
        <v>364</v>
      </c>
      <c r="X130" s="26"/>
      <c r="Y130" s="22">
        <f t="shared" si="3"/>
        <v>500</v>
      </c>
      <c r="Z130" s="26"/>
      <c r="AA130" s="20" t="s">
        <v>354</v>
      </c>
      <c r="AB130" s="11" t="s">
        <v>654</v>
      </c>
    </row>
    <row r="131" spans="1:28" s="12" customFormat="1" ht="29.25" customHeight="1">
      <c r="A131" s="26"/>
      <c r="B131" s="2" t="s">
        <v>657</v>
      </c>
      <c r="C131" s="2" t="s">
        <v>185</v>
      </c>
      <c r="D131" s="2"/>
      <c r="E131" s="2"/>
      <c r="F131" s="2"/>
      <c r="G131" s="2"/>
      <c r="H131" s="2" t="s">
        <v>202</v>
      </c>
      <c r="I131" s="9" t="s">
        <v>303</v>
      </c>
      <c r="J131" s="2">
        <v>1005</v>
      </c>
      <c r="K131" s="2" t="s">
        <v>646</v>
      </c>
      <c r="L131" s="2"/>
      <c r="M131" s="22" t="s">
        <v>353</v>
      </c>
      <c r="N131" s="22"/>
      <c r="O131" s="2">
        <v>510</v>
      </c>
      <c r="P131" s="2"/>
      <c r="Q131" s="2"/>
      <c r="R131" s="1">
        <v>3</v>
      </c>
      <c r="S131" s="1">
        <v>3</v>
      </c>
      <c r="T131" s="1"/>
      <c r="U131" s="18" t="s">
        <v>13</v>
      </c>
      <c r="V131" s="18">
        <v>7</v>
      </c>
      <c r="W131" s="1" t="s">
        <v>365</v>
      </c>
      <c r="X131" s="26"/>
      <c r="Y131" s="22">
        <f t="shared" si="3"/>
        <v>1530</v>
      </c>
      <c r="Z131" s="26"/>
      <c r="AA131" s="20" t="s">
        <v>354</v>
      </c>
      <c r="AB131" s="11"/>
    </row>
    <row r="132" spans="1:28" s="12" customFormat="1" ht="29.25" customHeight="1">
      <c r="A132" s="26"/>
      <c r="B132" s="2" t="s">
        <v>656</v>
      </c>
      <c r="C132" s="2" t="s">
        <v>185</v>
      </c>
      <c r="D132" s="2"/>
      <c r="E132" s="2"/>
      <c r="F132" s="2"/>
      <c r="G132" s="2"/>
      <c r="H132" s="2" t="s">
        <v>202</v>
      </c>
      <c r="I132" s="9" t="s">
        <v>303</v>
      </c>
      <c r="J132" s="2">
        <v>670</v>
      </c>
      <c r="K132" s="2" t="s">
        <v>646</v>
      </c>
      <c r="L132" s="2"/>
      <c r="M132" s="22" t="s">
        <v>353</v>
      </c>
      <c r="N132" s="22"/>
      <c r="O132" s="2">
        <v>340</v>
      </c>
      <c r="P132" s="2"/>
      <c r="Q132" s="2"/>
      <c r="R132" s="1">
        <v>1</v>
      </c>
      <c r="S132" s="1">
        <v>3</v>
      </c>
      <c r="T132" s="1"/>
      <c r="U132" s="18" t="s">
        <v>13</v>
      </c>
      <c r="V132" s="18">
        <v>7</v>
      </c>
      <c r="W132" s="1" t="s">
        <v>365</v>
      </c>
      <c r="X132" s="26"/>
      <c r="Y132" s="22">
        <f t="shared" si="3"/>
        <v>340</v>
      </c>
      <c r="Z132" s="26"/>
      <c r="AA132" s="20" t="s">
        <v>354</v>
      </c>
      <c r="AB132" s="11"/>
    </row>
    <row r="133" spans="1:28" s="12" customFormat="1" ht="29.25" customHeight="1">
      <c r="A133" s="26"/>
      <c r="B133" s="2" t="s">
        <v>475</v>
      </c>
      <c r="C133" s="2" t="s">
        <v>185</v>
      </c>
      <c r="D133" s="2"/>
      <c r="E133" s="2"/>
      <c r="F133" s="2"/>
      <c r="G133" s="2"/>
      <c r="H133" s="2" t="s">
        <v>202</v>
      </c>
      <c r="I133" s="9" t="s">
        <v>303</v>
      </c>
      <c r="J133" s="2">
        <v>921</v>
      </c>
      <c r="K133" s="2" t="s">
        <v>646</v>
      </c>
      <c r="L133" s="2"/>
      <c r="M133" s="22" t="s">
        <v>353</v>
      </c>
      <c r="N133" s="22"/>
      <c r="O133" s="2">
        <v>460</v>
      </c>
      <c r="P133" s="2"/>
      <c r="Q133" s="2"/>
      <c r="R133" s="1">
        <v>1</v>
      </c>
      <c r="S133" s="1">
        <v>1</v>
      </c>
      <c r="T133" s="1"/>
      <c r="U133" s="18" t="s">
        <v>13</v>
      </c>
      <c r="V133" s="18">
        <v>7</v>
      </c>
      <c r="W133" s="1" t="s">
        <v>365</v>
      </c>
      <c r="X133" s="26"/>
      <c r="Y133" s="22">
        <f t="shared" si="3"/>
        <v>460</v>
      </c>
      <c r="Z133" s="26"/>
      <c r="AA133" s="20" t="s">
        <v>354</v>
      </c>
      <c r="AB133" s="11"/>
    </row>
    <row r="134" spans="1:28" s="12" customFormat="1" ht="29.25" customHeight="1">
      <c r="A134" s="26"/>
      <c r="B134" s="2" t="s">
        <v>476</v>
      </c>
      <c r="C134" s="2" t="s">
        <v>133</v>
      </c>
      <c r="D134" s="2" t="s">
        <v>671</v>
      </c>
      <c r="E134" s="2"/>
      <c r="F134" s="2"/>
      <c r="G134" s="2"/>
      <c r="H134" s="2" t="s">
        <v>202</v>
      </c>
      <c r="I134" s="9" t="s">
        <v>303</v>
      </c>
      <c r="J134" s="2">
        <v>88</v>
      </c>
      <c r="K134" s="2" t="s">
        <v>672</v>
      </c>
      <c r="L134" s="2">
        <v>616.99239999999998</v>
      </c>
      <c r="M134" s="22" t="s">
        <v>353</v>
      </c>
      <c r="N134" s="22"/>
      <c r="O134" s="2">
        <v>50</v>
      </c>
      <c r="P134" s="2"/>
      <c r="Q134" s="2"/>
      <c r="R134" s="1">
        <v>1</v>
      </c>
      <c r="S134" s="1">
        <v>1</v>
      </c>
      <c r="T134" s="1"/>
      <c r="U134" s="18" t="s">
        <v>13</v>
      </c>
      <c r="V134" s="18">
        <v>7</v>
      </c>
      <c r="W134" s="1" t="s">
        <v>364</v>
      </c>
      <c r="X134" s="26"/>
      <c r="Y134" s="22"/>
      <c r="Z134" s="26"/>
      <c r="AA134" s="20" t="s">
        <v>354</v>
      </c>
      <c r="AB134" s="11" t="s">
        <v>673</v>
      </c>
    </row>
    <row r="135" spans="1:28" s="12" customFormat="1" ht="29.25" customHeight="1">
      <c r="A135" s="26"/>
      <c r="B135" s="2" t="s">
        <v>234</v>
      </c>
      <c r="C135" s="2" t="s">
        <v>24</v>
      </c>
      <c r="D135" s="2"/>
      <c r="E135" s="2"/>
      <c r="F135" s="2"/>
      <c r="G135" s="2"/>
      <c r="H135" s="2" t="s">
        <v>202</v>
      </c>
      <c r="I135" s="9" t="s">
        <v>303</v>
      </c>
      <c r="J135" s="2">
        <v>305</v>
      </c>
      <c r="K135" s="2" t="s">
        <v>672</v>
      </c>
      <c r="L135" s="2"/>
      <c r="M135" s="22" t="s">
        <v>353</v>
      </c>
      <c r="N135" s="22"/>
      <c r="O135" s="2">
        <v>160</v>
      </c>
      <c r="P135" s="2"/>
      <c r="Q135" s="2"/>
      <c r="R135" s="1"/>
      <c r="S135" s="1">
        <v>2</v>
      </c>
      <c r="T135" s="1"/>
      <c r="U135" s="18" t="s">
        <v>13</v>
      </c>
      <c r="V135" s="18">
        <v>7</v>
      </c>
      <c r="W135" s="1" t="s">
        <v>364</v>
      </c>
      <c r="X135" s="26"/>
      <c r="Y135" s="22"/>
      <c r="Z135" s="26"/>
      <c r="AA135" s="20" t="s">
        <v>354</v>
      </c>
      <c r="AB135" s="11"/>
    </row>
    <row r="136" spans="1:28" s="12" customFormat="1" ht="29.25" customHeight="1">
      <c r="A136" s="26"/>
      <c r="B136" s="2" t="s">
        <v>77</v>
      </c>
      <c r="C136" s="2" t="s">
        <v>76</v>
      </c>
      <c r="D136" s="2" t="s">
        <v>667</v>
      </c>
      <c r="E136" s="2"/>
      <c r="F136" s="2"/>
      <c r="G136" s="2"/>
      <c r="H136" s="2" t="s">
        <v>202</v>
      </c>
      <c r="I136" s="9" t="s">
        <v>303</v>
      </c>
      <c r="J136" s="2">
        <v>190</v>
      </c>
      <c r="K136" s="2" t="s">
        <v>668</v>
      </c>
      <c r="L136" s="2"/>
      <c r="M136" s="22" t="s">
        <v>353</v>
      </c>
      <c r="N136" s="22"/>
      <c r="O136" s="2">
        <v>45</v>
      </c>
      <c r="P136" s="2"/>
      <c r="Q136" s="2"/>
      <c r="R136" s="1">
        <v>5</v>
      </c>
      <c r="S136" s="1">
        <v>5</v>
      </c>
      <c r="T136" s="1"/>
      <c r="U136" s="18" t="s">
        <v>13</v>
      </c>
      <c r="V136" s="18">
        <v>7</v>
      </c>
      <c r="W136" s="1" t="s">
        <v>364</v>
      </c>
      <c r="X136" s="26"/>
      <c r="Y136" s="22">
        <f>O136*R136</f>
        <v>225</v>
      </c>
      <c r="Z136" s="26"/>
      <c r="AA136" s="20" t="s">
        <v>354</v>
      </c>
      <c r="AB136" s="11"/>
    </row>
    <row r="137" spans="1:28" s="12" customFormat="1" ht="29.25" customHeight="1">
      <c r="A137" s="26"/>
      <c r="B137" s="2" t="s">
        <v>477</v>
      </c>
      <c r="C137" s="2" t="s">
        <v>300</v>
      </c>
      <c r="D137" s="2"/>
      <c r="E137" s="2"/>
      <c r="F137" s="2"/>
      <c r="G137" s="2"/>
      <c r="H137" s="2" t="s">
        <v>202</v>
      </c>
      <c r="I137" s="9"/>
      <c r="J137" s="2">
        <v>123</v>
      </c>
      <c r="K137" s="2"/>
      <c r="L137" s="2"/>
      <c r="M137" s="22" t="s">
        <v>353</v>
      </c>
      <c r="N137" s="22"/>
      <c r="O137" s="2">
        <v>50</v>
      </c>
      <c r="P137" s="2"/>
      <c r="Q137" s="2"/>
      <c r="R137" s="1">
        <v>1</v>
      </c>
      <c r="S137" s="1">
        <v>1</v>
      </c>
      <c r="T137" s="1"/>
      <c r="U137" s="18" t="s">
        <v>13</v>
      </c>
      <c r="V137" s="18">
        <v>7</v>
      </c>
      <c r="W137" s="1" t="s">
        <v>364</v>
      </c>
      <c r="X137" s="26"/>
      <c r="Y137" s="22">
        <f>O137*R137</f>
        <v>50</v>
      </c>
      <c r="Z137" s="26"/>
      <c r="AA137" s="20" t="s">
        <v>354</v>
      </c>
      <c r="AB137" s="11"/>
    </row>
    <row r="138" spans="1:28" s="12" customFormat="1" ht="29.25" customHeight="1">
      <c r="A138" s="26"/>
      <c r="B138" s="2" t="s">
        <v>131</v>
      </c>
      <c r="C138" s="2" t="s">
        <v>130</v>
      </c>
      <c r="D138" s="2"/>
      <c r="E138" s="2"/>
      <c r="F138" s="2"/>
      <c r="G138" s="2"/>
      <c r="H138" s="2" t="s">
        <v>202</v>
      </c>
      <c r="I138" s="9" t="s">
        <v>303</v>
      </c>
      <c r="J138" s="2">
        <v>258</v>
      </c>
      <c r="K138" s="2"/>
      <c r="L138" s="2"/>
      <c r="M138" s="22" t="s">
        <v>353</v>
      </c>
      <c r="N138" s="22"/>
      <c r="O138" s="2">
        <v>55</v>
      </c>
      <c r="P138" s="2"/>
      <c r="Q138" s="2"/>
      <c r="R138" s="1">
        <v>1</v>
      </c>
      <c r="S138" s="1">
        <v>1</v>
      </c>
      <c r="T138" s="1"/>
      <c r="U138" s="18" t="s">
        <v>13</v>
      </c>
      <c r="V138" s="18">
        <v>7</v>
      </c>
      <c r="W138" s="1" t="s">
        <v>364</v>
      </c>
      <c r="X138" s="26"/>
      <c r="Y138" s="22">
        <f>O138*R138</f>
        <v>55</v>
      </c>
      <c r="Z138" s="26"/>
      <c r="AA138" s="20" t="s">
        <v>354</v>
      </c>
      <c r="AB138" s="11"/>
    </row>
    <row r="139" spans="1:28" s="12" customFormat="1" ht="29.25" customHeight="1">
      <c r="A139" s="26"/>
      <c r="B139" s="2" t="s">
        <v>478</v>
      </c>
      <c r="C139" s="2" t="s">
        <v>5</v>
      </c>
      <c r="D139" s="2" t="s">
        <v>687</v>
      </c>
      <c r="E139" s="2"/>
      <c r="F139" s="2"/>
      <c r="G139" s="2"/>
      <c r="H139" s="2" t="s">
        <v>202</v>
      </c>
      <c r="I139" s="9" t="s">
        <v>303</v>
      </c>
      <c r="J139" s="2">
        <v>198</v>
      </c>
      <c r="K139" s="2" t="s">
        <v>360</v>
      </c>
      <c r="L139" s="2"/>
      <c r="M139" s="22" t="s">
        <v>353</v>
      </c>
      <c r="N139" s="22"/>
      <c r="O139" s="2">
        <v>55</v>
      </c>
      <c r="P139" s="2"/>
      <c r="Q139" s="2"/>
      <c r="R139" s="1">
        <v>2</v>
      </c>
      <c r="S139" s="1">
        <v>2</v>
      </c>
      <c r="T139" s="1"/>
      <c r="U139" s="18" t="s">
        <v>13</v>
      </c>
      <c r="V139" s="18">
        <v>8</v>
      </c>
      <c r="W139" s="1" t="s">
        <v>364</v>
      </c>
      <c r="X139" s="26"/>
      <c r="Y139" s="22">
        <f>O139*R139</f>
        <v>110</v>
      </c>
      <c r="Z139" s="26"/>
      <c r="AA139" s="20" t="s">
        <v>354</v>
      </c>
      <c r="AB139" s="11"/>
    </row>
    <row r="140" spans="1:28" s="12" customFormat="1" ht="29.25" customHeight="1">
      <c r="A140" s="26"/>
      <c r="B140" s="2" t="s">
        <v>301</v>
      </c>
      <c r="C140" s="2" t="s">
        <v>694</v>
      </c>
      <c r="D140" s="2" t="s">
        <v>75</v>
      </c>
      <c r="E140" s="2"/>
      <c r="F140" s="2"/>
      <c r="G140" s="2"/>
      <c r="H140" s="2" t="s">
        <v>202</v>
      </c>
      <c r="I140" s="9" t="s">
        <v>591</v>
      </c>
      <c r="J140" s="2">
        <v>940</v>
      </c>
      <c r="K140" s="2" t="s">
        <v>689</v>
      </c>
      <c r="L140" s="2">
        <v>616.89</v>
      </c>
      <c r="M140" s="22" t="s">
        <v>353</v>
      </c>
      <c r="N140" s="22"/>
      <c r="O140" s="2">
        <v>470</v>
      </c>
      <c r="P140" s="2"/>
      <c r="Q140" s="2"/>
      <c r="R140" s="1">
        <v>1</v>
      </c>
      <c r="S140" s="1">
        <v>1</v>
      </c>
      <c r="T140" s="1"/>
      <c r="U140" s="18" t="s">
        <v>13</v>
      </c>
      <c r="V140" s="18">
        <v>8</v>
      </c>
      <c r="W140" s="1" t="s">
        <v>365</v>
      </c>
      <c r="X140" s="26"/>
      <c r="Y140" s="22">
        <f>O140*R140</f>
        <v>470</v>
      </c>
      <c r="Z140" s="26"/>
      <c r="AA140" s="20" t="s">
        <v>354</v>
      </c>
      <c r="AB140" s="11" t="s">
        <v>695</v>
      </c>
    </row>
    <row r="141" spans="1:28" s="12" customFormat="1" ht="29.25" customHeight="1">
      <c r="A141" s="26"/>
      <c r="B141" s="2" t="s">
        <v>302</v>
      </c>
      <c r="C141" s="2" t="s">
        <v>79</v>
      </c>
      <c r="D141" s="2"/>
      <c r="E141" s="2"/>
      <c r="F141" s="2"/>
      <c r="G141" s="2"/>
      <c r="H141" s="2" t="s">
        <v>202</v>
      </c>
      <c r="I141" s="9" t="s">
        <v>591</v>
      </c>
      <c r="J141" s="2">
        <v>318</v>
      </c>
      <c r="K141" s="2" t="s">
        <v>360</v>
      </c>
      <c r="L141" s="2">
        <v>616.89007200000003</v>
      </c>
      <c r="M141" s="22" t="s">
        <v>353</v>
      </c>
      <c r="N141" s="22"/>
      <c r="O141" s="2">
        <v>160</v>
      </c>
      <c r="P141" s="2"/>
      <c r="Q141" s="2"/>
      <c r="R141" s="1">
        <v>1</v>
      </c>
      <c r="S141" s="1">
        <v>1</v>
      </c>
      <c r="T141" s="1"/>
      <c r="U141" s="18" t="s">
        <v>13</v>
      </c>
      <c r="V141" s="18">
        <v>8</v>
      </c>
      <c r="W141" s="1" t="s">
        <v>364</v>
      </c>
      <c r="X141" s="26"/>
      <c r="Y141" s="22">
        <f>O141*R141</f>
        <v>160</v>
      </c>
      <c r="Z141" s="26"/>
      <c r="AA141" s="20" t="s">
        <v>354</v>
      </c>
      <c r="AB141" s="11" t="s">
        <v>692</v>
      </c>
    </row>
    <row r="142" spans="1:28" s="12" customFormat="1" ht="29.25" customHeight="1">
      <c r="A142" s="26"/>
      <c r="B142" s="2" t="s">
        <v>479</v>
      </c>
      <c r="C142" s="2" t="s">
        <v>83</v>
      </c>
      <c r="D142" s="2" t="s">
        <v>304</v>
      </c>
      <c r="E142" s="2"/>
      <c r="F142" s="2"/>
      <c r="G142" s="2"/>
      <c r="H142" s="2" t="s">
        <v>202</v>
      </c>
      <c r="I142" s="9" t="s">
        <v>591</v>
      </c>
      <c r="J142" s="2">
        <v>400</v>
      </c>
      <c r="K142" s="2" t="s">
        <v>360</v>
      </c>
      <c r="L142" s="2">
        <v>616.89007200000003</v>
      </c>
      <c r="M142" s="22" t="s">
        <v>353</v>
      </c>
      <c r="N142" s="22"/>
      <c r="O142" s="2">
        <v>200</v>
      </c>
      <c r="P142" s="2"/>
      <c r="Q142" s="2"/>
      <c r="R142" s="1">
        <v>7</v>
      </c>
      <c r="S142" s="1">
        <v>7</v>
      </c>
      <c r="T142" s="1"/>
      <c r="U142" s="18" t="s">
        <v>13</v>
      </c>
      <c r="V142" s="18">
        <v>8</v>
      </c>
      <c r="W142" s="1" t="s">
        <v>364</v>
      </c>
      <c r="X142" s="26"/>
      <c r="Y142" s="22">
        <f>O142*R142</f>
        <v>1400</v>
      </c>
      <c r="Z142" s="26"/>
      <c r="AA142" s="20" t="s">
        <v>354</v>
      </c>
      <c r="AB142" s="11" t="s">
        <v>693</v>
      </c>
    </row>
    <row r="143" spans="1:28" s="12" customFormat="1" ht="29.25" customHeight="1">
      <c r="A143" s="26"/>
      <c r="B143" s="2" t="s">
        <v>480</v>
      </c>
      <c r="C143" s="2" t="s">
        <v>45</v>
      </c>
      <c r="D143" s="2"/>
      <c r="E143" s="2"/>
      <c r="F143" s="2"/>
      <c r="G143" s="2"/>
      <c r="H143" s="2" t="s">
        <v>202</v>
      </c>
      <c r="I143" s="9" t="s">
        <v>591</v>
      </c>
      <c r="J143" s="2">
        <v>687</v>
      </c>
      <c r="K143" s="2" t="s">
        <v>689</v>
      </c>
      <c r="L143" s="2"/>
      <c r="M143" s="22" t="s">
        <v>353</v>
      </c>
      <c r="N143" s="22"/>
      <c r="O143" s="2">
        <v>340</v>
      </c>
      <c r="P143" s="2"/>
      <c r="Q143" s="2"/>
      <c r="R143" s="1">
        <v>7</v>
      </c>
      <c r="S143" s="1">
        <v>7</v>
      </c>
      <c r="T143" s="1"/>
      <c r="U143" s="18" t="s">
        <v>13</v>
      </c>
      <c r="V143" s="18">
        <v>8</v>
      </c>
      <c r="W143" s="1" t="s">
        <v>364</v>
      </c>
      <c r="X143" s="26"/>
      <c r="Y143" s="22">
        <f>O143*R143</f>
        <v>2380</v>
      </c>
      <c r="Z143" s="26"/>
      <c r="AA143" s="20" t="s">
        <v>354</v>
      </c>
      <c r="AB143" s="11" t="s">
        <v>690</v>
      </c>
    </row>
    <row r="144" spans="1:28" s="12" customFormat="1" ht="29.25" customHeight="1">
      <c r="A144" s="26"/>
      <c r="B144" s="2" t="s">
        <v>259</v>
      </c>
      <c r="C144" s="2" t="s">
        <v>239</v>
      </c>
      <c r="D144" s="2" t="s">
        <v>691</v>
      </c>
      <c r="E144" s="2"/>
      <c r="F144" s="2"/>
      <c r="G144" s="2"/>
      <c r="H144" s="2" t="s">
        <v>202</v>
      </c>
      <c r="I144" s="9" t="s">
        <v>303</v>
      </c>
      <c r="J144" s="2">
        <v>640</v>
      </c>
      <c r="K144" s="2" t="s">
        <v>705</v>
      </c>
      <c r="L144" s="2"/>
      <c r="M144" s="22" t="s">
        <v>353</v>
      </c>
      <c r="N144" s="22"/>
      <c r="O144" s="2">
        <v>320</v>
      </c>
      <c r="P144" s="2"/>
      <c r="Q144" s="2"/>
      <c r="R144" s="1">
        <v>1</v>
      </c>
      <c r="S144" s="1">
        <v>1</v>
      </c>
      <c r="T144" s="1"/>
      <c r="U144" s="18" t="s">
        <v>13</v>
      </c>
      <c r="V144" s="18">
        <v>8</v>
      </c>
      <c r="W144" s="1" t="s">
        <v>364</v>
      </c>
      <c r="X144" s="26"/>
      <c r="Y144" s="22">
        <f>O144*R144</f>
        <v>320</v>
      </c>
      <c r="Z144" s="26"/>
      <c r="AA144" s="20" t="s">
        <v>354</v>
      </c>
      <c r="AB144" s="11"/>
    </row>
    <row r="145" spans="1:28" s="12" customFormat="1" ht="29.25" customHeight="1">
      <c r="A145" s="26"/>
      <c r="B145" s="2" t="s">
        <v>40</v>
      </c>
      <c r="C145" s="2" t="s">
        <v>39</v>
      </c>
      <c r="D145" s="2" t="s">
        <v>304</v>
      </c>
      <c r="E145" s="2"/>
      <c r="F145" s="2"/>
      <c r="G145" s="2"/>
      <c r="H145" s="2" t="s">
        <v>202</v>
      </c>
      <c r="I145" s="9" t="s">
        <v>591</v>
      </c>
      <c r="J145" s="2">
        <v>600</v>
      </c>
      <c r="K145" s="2" t="s">
        <v>360</v>
      </c>
      <c r="L145" s="2">
        <v>616.89075000000003</v>
      </c>
      <c r="M145" s="22" t="s">
        <v>353</v>
      </c>
      <c r="N145" s="22"/>
      <c r="O145" s="2">
        <v>310</v>
      </c>
      <c r="P145" s="2"/>
      <c r="Q145" s="2"/>
      <c r="R145" s="1">
        <v>7</v>
      </c>
      <c r="S145" s="1">
        <v>7</v>
      </c>
      <c r="T145" s="1"/>
      <c r="U145" s="18" t="s">
        <v>13</v>
      </c>
      <c r="V145" s="18">
        <v>8</v>
      </c>
      <c r="W145" s="1" t="s">
        <v>365</v>
      </c>
      <c r="X145" s="26"/>
      <c r="Y145" s="22">
        <f>O145*R145</f>
        <v>2170</v>
      </c>
      <c r="Z145" s="26"/>
      <c r="AA145" s="20" t="s">
        <v>354</v>
      </c>
      <c r="AB145" s="11" t="s">
        <v>688</v>
      </c>
    </row>
    <row r="146" spans="1:28" s="12" customFormat="1" ht="29.25" customHeight="1">
      <c r="A146" s="26"/>
      <c r="B146" s="2" t="s">
        <v>74</v>
      </c>
      <c r="C146" s="2" t="s">
        <v>696</v>
      </c>
      <c r="D146" s="2" t="s">
        <v>304</v>
      </c>
      <c r="E146" s="2"/>
      <c r="F146" s="2"/>
      <c r="G146" s="2"/>
      <c r="H146" s="2" t="s">
        <v>202</v>
      </c>
      <c r="I146" s="9" t="s">
        <v>303</v>
      </c>
      <c r="J146" s="2">
        <v>984</v>
      </c>
      <c r="K146" s="2" t="s">
        <v>697</v>
      </c>
      <c r="L146" s="2">
        <v>616.89</v>
      </c>
      <c r="M146" s="22" t="s">
        <v>353</v>
      </c>
      <c r="N146" s="22"/>
      <c r="O146" s="2">
        <v>500</v>
      </c>
      <c r="P146" s="2"/>
      <c r="Q146" s="2"/>
      <c r="R146" s="13">
        <v>12</v>
      </c>
      <c r="S146" s="13">
        <v>12</v>
      </c>
      <c r="T146" s="13"/>
      <c r="U146" s="18" t="s">
        <v>13</v>
      </c>
      <c r="V146" s="18">
        <v>9</v>
      </c>
      <c r="W146" s="1" t="s">
        <v>365</v>
      </c>
      <c r="X146" s="26"/>
      <c r="Y146" s="22">
        <f>O146*R146</f>
        <v>6000</v>
      </c>
      <c r="Z146" s="26"/>
      <c r="AA146" s="20" t="s">
        <v>354</v>
      </c>
      <c r="AB146" s="11" t="s">
        <v>698</v>
      </c>
    </row>
    <row r="147" spans="1:28" s="12" customFormat="1" ht="29.25" customHeight="1">
      <c r="A147" s="26"/>
      <c r="B147" s="2" t="s">
        <v>260</v>
      </c>
      <c r="C147" s="2" t="s">
        <v>59</v>
      </c>
      <c r="D147" s="2"/>
      <c r="E147" s="2"/>
      <c r="F147" s="2"/>
      <c r="G147" s="2"/>
      <c r="H147" s="2" t="s">
        <v>202</v>
      </c>
      <c r="I147" s="9" t="s">
        <v>303</v>
      </c>
      <c r="J147" s="2">
        <v>217</v>
      </c>
      <c r="K147" s="2" t="s">
        <v>689</v>
      </c>
      <c r="L147" s="2"/>
      <c r="M147" s="22" t="s">
        <v>353</v>
      </c>
      <c r="N147" s="22"/>
      <c r="O147" s="2">
        <v>110</v>
      </c>
      <c r="P147" s="2"/>
      <c r="Q147" s="2"/>
      <c r="R147" s="1">
        <v>1</v>
      </c>
      <c r="S147" s="1">
        <v>1</v>
      </c>
      <c r="T147" s="1"/>
      <c r="U147" s="18" t="s">
        <v>13</v>
      </c>
      <c r="V147" s="18">
        <v>9</v>
      </c>
      <c r="W147" s="1" t="s">
        <v>364</v>
      </c>
      <c r="X147" s="26"/>
      <c r="Y147" s="22">
        <f>O147*R147</f>
        <v>110</v>
      </c>
      <c r="Z147" s="26"/>
      <c r="AA147" s="20" t="s">
        <v>354</v>
      </c>
      <c r="AB147" s="11"/>
    </row>
    <row r="148" spans="1:28" s="12" customFormat="1" ht="29.25" customHeight="1">
      <c r="A148" s="26"/>
      <c r="B148" s="2" t="s">
        <v>481</v>
      </c>
      <c r="C148" s="2" t="s">
        <v>63</v>
      </c>
      <c r="D148" s="2" t="s">
        <v>681</v>
      </c>
      <c r="E148" s="2"/>
      <c r="F148" s="2"/>
      <c r="G148" s="2"/>
      <c r="H148" s="2" t="s">
        <v>202</v>
      </c>
      <c r="I148" s="9" t="s">
        <v>303</v>
      </c>
      <c r="J148" s="2">
        <v>510</v>
      </c>
      <c r="K148" s="2" t="s">
        <v>689</v>
      </c>
      <c r="L148" s="2"/>
      <c r="M148" s="22" t="s">
        <v>353</v>
      </c>
      <c r="N148" s="22"/>
      <c r="O148" s="2">
        <v>260</v>
      </c>
      <c r="P148" s="2"/>
      <c r="Q148" s="2"/>
      <c r="R148" s="1">
        <v>1</v>
      </c>
      <c r="S148" s="1">
        <v>1</v>
      </c>
      <c r="T148" s="1"/>
      <c r="U148" s="18" t="s">
        <v>13</v>
      </c>
      <c r="V148" s="18">
        <v>9</v>
      </c>
      <c r="W148" s="1" t="s">
        <v>365</v>
      </c>
      <c r="X148" s="26"/>
      <c r="Y148" s="22">
        <f>O148*R148</f>
        <v>260</v>
      </c>
      <c r="Z148" s="26"/>
      <c r="AA148" s="20" t="s">
        <v>354</v>
      </c>
      <c r="AB148" s="11"/>
    </row>
    <row r="149" spans="1:28" s="12" customFormat="1" ht="29.25" customHeight="1">
      <c r="A149" s="26"/>
      <c r="B149" s="2" t="s">
        <v>285</v>
      </c>
      <c r="C149" s="2" t="s">
        <v>286</v>
      </c>
      <c r="D149" s="2" t="s">
        <v>699</v>
      </c>
      <c r="E149" s="2"/>
      <c r="F149" s="2"/>
      <c r="G149" s="2"/>
      <c r="H149" s="2" t="s">
        <v>202</v>
      </c>
      <c r="I149" s="9" t="s">
        <v>591</v>
      </c>
      <c r="J149" s="2">
        <v>717</v>
      </c>
      <c r="K149" s="2" t="s">
        <v>700</v>
      </c>
      <c r="L149" s="2">
        <v>616.89</v>
      </c>
      <c r="M149" s="22" t="s">
        <v>353</v>
      </c>
      <c r="N149" s="22"/>
      <c r="O149" s="2">
        <v>130</v>
      </c>
      <c r="P149" s="2"/>
      <c r="Q149" s="2"/>
      <c r="R149" s="1">
        <v>1</v>
      </c>
      <c r="S149" s="1">
        <v>1</v>
      </c>
      <c r="T149" s="1"/>
      <c r="U149" s="18" t="s">
        <v>13</v>
      </c>
      <c r="V149" s="18">
        <v>9</v>
      </c>
      <c r="W149" s="1" t="s">
        <v>364</v>
      </c>
      <c r="X149" s="26"/>
      <c r="Y149" s="22">
        <f>O149*R149</f>
        <v>130</v>
      </c>
      <c r="Z149" s="26"/>
      <c r="AA149" s="20" t="s">
        <v>354</v>
      </c>
      <c r="AB149" s="11" t="s">
        <v>701</v>
      </c>
    </row>
    <row r="150" spans="1:28" s="12" customFormat="1" ht="29.25" customHeight="1">
      <c r="A150" s="26"/>
      <c r="B150" s="2" t="s">
        <v>919</v>
      </c>
      <c r="C150" s="2" t="s">
        <v>920</v>
      </c>
      <c r="D150" s="2" t="s">
        <v>921</v>
      </c>
      <c r="E150" s="2"/>
      <c r="F150" s="2"/>
      <c r="G150" s="2"/>
      <c r="H150" s="2" t="s">
        <v>202</v>
      </c>
      <c r="I150" s="9" t="s">
        <v>303</v>
      </c>
      <c r="J150" s="25">
        <v>768</v>
      </c>
      <c r="K150" s="2" t="s">
        <v>922</v>
      </c>
      <c r="L150" s="2" t="s">
        <v>923</v>
      </c>
      <c r="M150" s="22" t="s">
        <v>353</v>
      </c>
      <c r="N150" s="22"/>
      <c r="O150" s="25">
        <v>400</v>
      </c>
      <c r="P150" s="25"/>
      <c r="Q150" s="25"/>
      <c r="R150" s="13">
        <v>1</v>
      </c>
      <c r="S150" s="13">
        <v>1</v>
      </c>
      <c r="T150" s="13"/>
      <c r="U150" s="18" t="s">
        <v>13</v>
      </c>
      <c r="V150" s="18">
        <v>10</v>
      </c>
      <c r="W150" s="1" t="s">
        <v>365</v>
      </c>
      <c r="X150" s="26"/>
      <c r="Y150" s="22">
        <f t="shared" ref="Y150" si="4">O150*R150</f>
        <v>400</v>
      </c>
      <c r="Z150" s="26"/>
      <c r="AA150" s="20" t="s">
        <v>354</v>
      </c>
      <c r="AB150" s="11" t="s">
        <v>924</v>
      </c>
    </row>
    <row r="151" spans="1:28" s="12" customFormat="1" ht="29.25" customHeight="1">
      <c r="A151" s="26"/>
      <c r="B151" s="2" t="s">
        <v>261</v>
      </c>
      <c r="C151" s="2" t="s">
        <v>188</v>
      </c>
      <c r="D151" s="2"/>
      <c r="E151" s="2"/>
      <c r="F151" s="2"/>
      <c r="G151" s="2"/>
      <c r="H151" s="2" t="s">
        <v>202</v>
      </c>
      <c r="I151" s="9" t="s">
        <v>303</v>
      </c>
      <c r="J151" s="2">
        <v>522</v>
      </c>
      <c r="K151" s="2" t="s">
        <v>306</v>
      </c>
      <c r="L151" s="2"/>
      <c r="M151" s="22" t="s">
        <v>353</v>
      </c>
      <c r="N151" s="22"/>
      <c r="O151" s="2">
        <v>270</v>
      </c>
      <c r="P151" s="2"/>
      <c r="Q151" s="2"/>
      <c r="R151" s="1">
        <v>5</v>
      </c>
      <c r="S151" s="1">
        <v>5</v>
      </c>
      <c r="T151" s="1"/>
      <c r="U151" s="18" t="s">
        <v>13</v>
      </c>
      <c r="V151" s="18">
        <v>10</v>
      </c>
      <c r="W151" s="1" t="s">
        <v>364</v>
      </c>
      <c r="X151" s="26"/>
      <c r="Y151" s="22">
        <f>O151*R151</f>
        <v>1350</v>
      </c>
      <c r="Z151" s="26"/>
      <c r="AA151" s="20" t="s">
        <v>354</v>
      </c>
      <c r="AB151" s="11"/>
    </row>
    <row r="152" spans="1:28" s="12" customFormat="1" ht="29.25" customHeight="1">
      <c r="A152" s="26"/>
      <c r="B152" s="2" t="s">
        <v>702</v>
      </c>
      <c r="C152" s="2" t="s">
        <v>703</v>
      </c>
      <c r="D152" s="2" t="s">
        <v>188</v>
      </c>
      <c r="E152" s="2"/>
      <c r="F152" s="2"/>
      <c r="G152" s="2"/>
      <c r="H152" s="2" t="s">
        <v>202</v>
      </c>
      <c r="I152" s="9" t="s">
        <v>303</v>
      </c>
      <c r="J152" s="2">
        <v>664</v>
      </c>
      <c r="K152" s="2" t="s">
        <v>697</v>
      </c>
      <c r="L152" s="2"/>
      <c r="M152" s="22" t="s">
        <v>353</v>
      </c>
      <c r="N152" s="22"/>
      <c r="O152" s="2">
        <v>300</v>
      </c>
      <c r="P152" s="2"/>
      <c r="Q152" s="2"/>
      <c r="R152" s="1">
        <v>5</v>
      </c>
      <c r="S152" s="1">
        <v>5</v>
      </c>
      <c r="T152" s="1"/>
      <c r="U152" s="18" t="s">
        <v>13</v>
      </c>
      <c r="V152" s="18">
        <v>10</v>
      </c>
      <c r="W152" s="1" t="s">
        <v>364</v>
      </c>
      <c r="X152" s="26"/>
      <c r="Y152" s="22">
        <f>O152*R152</f>
        <v>1500</v>
      </c>
      <c r="Z152" s="26"/>
      <c r="AA152" s="20" t="s">
        <v>354</v>
      </c>
      <c r="AB152" s="11" t="s">
        <v>704</v>
      </c>
    </row>
    <row r="153" spans="1:28" s="12" customFormat="1" ht="29.25" customHeight="1">
      <c r="A153" s="26"/>
      <c r="B153" s="2" t="s">
        <v>482</v>
      </c>
      <c r="C153" s="2" t="s">
        <v>9</v>
      </c>
      <c r="D153" s="2"/>
      <c r="E153" s="2"/>
      <c r="F153" s="2"/>
      <c r="G153" s="2"/>
      <c r="H153" s="2" t="s">
        <v>202</v>
      </c>
      <c r="I153" s="9" t="s">
        <v>303</v>
      </c>
      <c r="J153" s="2">
        <v>411</v>
      </c>
      <c r="K153" s="2" t="s">
        <v>721</v>
      </c>
      <c r="L153" s="2">
        <v>616.89139999999998</v>
      </c>
      <c r="M153" s="22" t="s">
        <v>353</v>
      </c>
      <c r="N153" s="22"/>
      <c r="O153" s="2">
        <v>210</v>
      </c>
      <c r="P153" s="2"/>
      <c r="Q153" s="2"/>
      <c r="R153" s="1">
        <v>1</v>
      </c>
      <c r="S153" s="1">
        <v>1</v>
      </c>
      <c r="T153" s="1"/>
      <c r="U153" s="18" t="s">
        <v>13</v>
      </c>
      <c r="V153" s="18">
        <v>10</v>
      </c>
      <c r="W153" s="1" t="s">
        <v>364</v>
      </c>
      <c r="X153" s="26"/>
      <c r="Y153" s="22">
        <f>O153*R153</f>
        <v>210</v>
      </c>
      <c r="Z153" s="26"/>
      <c r="AA153" s="20" t="s">
        <v>354</v>
      </c>
      <c r="AB153" s="11" t="s">
        <v>722</v>
      </c>
    </row>
    <row r="154" spans="1:28" s="12" customFormat="1" ht="29.25" customHeight="1">
      <c r="A154" s="26"/>
      <c r="B154" s="2" t="s">
        <v>44</v>
      </c>
      <c r="C154" s="2" t="s">
        <v>43</v>
      </c>
      <c r="D154" s="2" t="s">
        <v>715</v>
      </c>
      <c r="E154" s="2"/>
      <c r="F154" s="2"/>
      <c r="G154" s="2"/>
      <c r="H154" s="2" t="s">
        <v>202</v>
      </c>
      <c r="I154" s="9"/>
      <c r="J154" s="2">
        <v>421</v>
      </c>
      <c r="K154" s="2" t="s">
        <v>766</v>
      </c>
      <c r="L154" s="2">
        <v>616.85199999999998</v>
      </c>
      <c r="M154" s="22" t="s">
        <v>353</v>
      </c>
      <c r="N154" s="22"/>
      <c r="O154" s="2">
        <v>125</v>
      </c>
      <c r="P154" s="2"/>
      <c r="Q154" s="2"/>
      <c r="R154" s="1">
        <v>5</v>
      </c>
      <c r="S154" s="1">
        <v>5</v>
      </c>
      <c r="T154" s="1"/>
      <c r="U154" s="18" t="s">
        <v>13</v>
      </c>
      <c r="V154" s="18">
        <v>10</v>
      </c>
      <c r="W154" s="1" t="s">
        <v>364</v>
      </c>
      <c r="X154" s="26"/>
      <c r="Y154" s="22">
        <f>O154*R154</f>
        <v>625</v>
      </c>
      <c r="Z154" s="26"/>
      <c r="AA154" s="20" t="s">
        <v>354</v>
      </c>
      <c r="AB154" s="11" t="s">
        <v>716</v>
      </c>
    </row>
    <row r="155" spans="1:28" s="12" customFormat="1" ht="29.25" customHeight="1">
      <c r="A155" s="26"/>
      <c r="B155" s="2" t="s">
        <v>222</v>
      </c>
      <c r="C155" s="2" t="s">
        <v>223</v>
      </c>
      <c r="D155" s="2" t="s">
        <v>720</v>
      </c>
      <c r="E155" s="2"/>
      <c r="F155" s="2"/>
      <c r="G155" s="2"/>
      <c r="H155" s="2" t="s">
        <v>202</v>
      </c>
      <c r="I155" s="9"/>
      <c r="J155" s="2">
        <v>264</v>
      </c>
      <c r="K155" s="2" t="s">
        <v>766</v>
      </c>
      <c r="L155" s="2"/>
      <c r="M155" s="22" t="s">
        <v>353</v>
      </c>
      <c r="N155" s="22"/>
      <c r="O155" s="2">
        <v>70</v>
      </c>
      <c r="P155" s="2"/>
      <c r="Q155" s="2"/>
      <c r="R155" s="1">
        <v>1</v>
      </c>
      <c r="S155" s="1">
        <v>1</v>
      </c>
      <c r="T155" s="1"/>
      <c r="U155" s="18" t="s">
        <v>13</v>
      </c>
      <c r="V155" s="18">
        <v>10</v>
      </c>
      <c r="W155" s="1" t="s">
        <v>364</v>
      </c>
      <c r="X155" s="26"/>
      <c r="Y155" s="22">
        <f>O155*R155</f>
        <v>70</v>
      </c>
      <c r="Z155" s="26"/>
      <c r="AA155" s="20" t="s">
        <v>354</v>
      </c>
      <c r="AB155" s="11"/>
    </row>
    <row r="156" spans="1:28" s="12" customFormat="1" ht="29.25" customHeight="1">
      <c r="A156" s="26"/>
      <c r="B156" s="2" t="s">
        <v>320</v>
      </c>
      <c r="C156" s="2" t="s">
        <v>319</v>
      </c>
      <c r="D156" s="2"/>
      <c r="E156" s="2"/>
      <c r="F156" s="2"/>
      <c r="G156" s="2"/>
      <c r="H156" s="2" t="s">
        <v>202</v>
      </c>
      <c r="I156" s="9"/>
      <c r="J156" s="2">
        <v>64</v>
      </c>
      <c r="K156" s="2" t="s">
        <v>766</v>
      </c>
      <c r="L156" s="2"/>
      <c r="M156" s="22" t="s">
        <v>353</v>
      </c>
      <c r="N156" s="22"/>
      <c r="O156" s="2">
        <v>20</v>
      </c>
      <c r="P156" s="2"/>
      <c r="Q156" s="2"/>
      <c r="R156" s="1">
        <v>1</v>
      </c>
      <c r="S156" s="1">
        <v>1</v>
      </c>
      <c r="T156" s="1"/>
      <c r="U156" s="18" t="s">
        <v>13</v>
      </c>
      <c r="V156" s="18">
        <v>10</v>
      </c>
      <c r="W156" s="1" t="s">
        <v>364</v>
      </c>
      <c r="X156" s="26"/>
      <c r="Y156" s="22">
        <f>O156*R156</f>
        <v>20</v>
      </c>
      <c r="Z156" s="26"/>
      <c r="AA156" s="20" t="s">
        <v>354</v>
      </c>
      <c r="AB156" s="11"/>
    </row>
    <row r="157" spans="1:28" s="12" customFormat="1" ht="29.25" customHeight="1">
      <c r="A157" s="26"/>
      <c r="B157" s="2" t="s">
        <v>148</v>
      </c>
      <c r="C157" s="2" t="s">
        <v>147</v>
      </c>
      <c r="D157" s="2" t="s">
        <v>712</v>
      </c>
      <c r="E157" s="2"/>
      <c r="F157" s="2"/>
      <c r="G157" s="2"/>
      <c r="H157" s="2" t="s">
        <v>202</v>
      </c>
      <c r="I157" s="9"/>
      <c r="J157" s="2">
        <v>120</v>
      </c>
      <c r="K157" s="2" t="s">
        <v>766</v>
      </c>
      <c r="L157" s="2">
        <v>616.85270000000003</v>
      </c>
      <c r="M157" s="22" t="s">
        <v>353</v>
      </c>
      <c r="N157" s="22"/>
      <c r="O157" s="2">
        <v>35</v>
      </c>
      <c r="P157" s="2"/>
      <c r="Q157" s="2"/>
      <c r="R157" s="1">
        <v>5</v>
      </c>
      <c r="S157" s="1">
        <v>5</v>
      </c>
      <c r="T157" s="1"/>
      <c r="U157" s="18" t="s">
        <v>13</v>
      </c>
      <c r="V157" s="18">
        <v>10</v>
      </c>
      <c r="W157" s="1"/>
      <c r="X157" s="26"/>
      <c r="Y157" s="22">
        <f>O157*R157</f>
        <v>175</v>
      </c>
      <c r="Z157" s="26"/>
      <c r="AA157" s="20" t="s">
        <v>354</v>
      </c>
      <c r="AB157" s="11" t="s">
        <v>713</v>
      </c>
    </row>
    <row r="158" spans="1:28" s="12" customFormat="1" ht="29.25" customHeight="1">
      <c r="A158" s="26"/>
      <c r="B158" s="2" t="s">
        <v>177</v>
      </c>
      <c r="C158" s="2" t="s">
        <v>237</v>
      </c>
      <c r="D158" s="2" t="s">
        <v>392</v>
      </c>
      <c r="E158" s="2"/>
      <c r="F158" s="2"/>
      <c r="G158" s="2"/>
      <c r="H158" s="2" t="s">
        <v>202</v>
      </c>
      <c r="I158" s="9"/>
      <c r="J158" s="2">
        <v>163</v>
      </c>
      <c r="K158" s="2" t="s">
        <v>766</v>
      </c>
      <c r="L158" s="2">
        <v>616.85270000000003</v>
      </c>
      <c r="M158" s="22" t="s">
        <v>353</v>
      </c>
      <c r="N158" s="22"/>
      <c r="O158" s="2">
        <v>45</v>
      </c>
      <c r="P158" s="2"/>
      <c r="Q158" s="2"/>
      <c r="R158" s="1">
        <v>1</v>
      </c>
      <c r="S158" s="1">
        <v>1</v>
      </c>
      <c r="T158" s="1"/>
      <c r="U158" s="18" t="s">
        <v>13</v>
      </c>
      <c r="V158" s="18">
        <v>10</v>
      </c>
      <c r="W158" s="1"/>
      <c r="X158" s="26"/>
      <c r="Y158" s="22">
        <f>O158*R158</f>
        <v>45</v>
      </c>
      <c r="Z158" s="26"/>
      <c r="AA158" s="20" t="s">
        <v>354</v>
      </c>
      <c r="AB158" s="11" t="s">
        <v>719</v>
      </c>
    </row>
    <row r="159" spans="1:28" s="12" customFormat="1" ht="29.25" customHeight="1">
      <c r="A159" s="26"/>
      <c r="B159" s="2" t="s">
        <v>262</v>
      </c>
      <c r="C159" s="2" t="s">
        <v>161</v>
      </c>
      <c r="D159" s="2"/>
      <c r="E159" s="2"/>
      <c r="F159" s="2"/>
      <c r="G159" s="2"/>
      <c r="H159" s="2" t="s">
        <v>202</v>
      </c>
      <c r="I159" s="9"/>
      <c r="J159" s="2">
        <v>84</v>
      </c>
      <c r="K159" s="2" t="s">
        <v>766</v>
      </c>
      <c r="L159" s="2">
        <v>616.85270000000003</v>
      </c>
      <c r="M159" s="22" t="s">
        <v>353</v>
      </c>
      <c r="N159" s="22"/>
      <c r="O159" s="2">
        <v>25</v>
      </c>
      <c r="P159" s="2"/>
      <c r="Q159" s="2"/>
      <c r="R159" s="1">
        <v>4</v>
      </c>
      <c r="S159" s="1">
        <v>4</v>
      </c>
      <c r="T159" s="1"/>
      <c r="U159" s="18" t="s">
        <v>13</v>
      </c>
      <c r="V159" s="18">
        <v>10</v>
      </c>
      <c r="W159" s="1"/>
      <c r="X159" s="26"/>
      <c r="Y159" s="22">
        <f>O159*R159</f>
        <v>100</v>
      </c>
      <c r="Z159" s="26"/>
      <c r="AA159" s="20" t="s">
        <v>354</v>
      </c>
      <c r="AB159" s="11" t="s">
        <v>709</v>
      </c>
    </row>
    <row r="160" spans="1:28" s="12" customFormat="1" ht="29.25" customHeight="1">
      <c r="A160" s="26"/>
      <c r="B160" s="2" t="s">
        <v>483</v>
      </c>
      <c r="C160" s="2" t="s">
        <v>311</v>
      </c>
      <c r="D160" s="2" t="s">
        <v>717</v>
      </c>
      <c r="E160" s="2"/>
      <c r="F160" s="2"/>
      <c r="G160" s="2"/>
      <c r="H160" s="2" t="s">
        <v>202</v>
      </c>
      <c r="I160" s="9"/>
      <c r="J160" s="2">
        <v>384</v>
      </c>
      <c r="K160" s="2" t="s">
        <v>767</v>
      </c>
      <c r="L160" s="2">
        <v>157.1</v>
      </c>
      <c r="M160" s="22" t="s">
        <v>353</v>
      </c>
      <c r="N160" s="22"/>
      <c r="O160" s="2">
        <v>100</v>
      </c>
      <c r="P160" s="2"/>
      <c r="Q160" s="2"/>
      <c r="R160" s="13">
        <v>1</v>
      </c>
      <c r="S160" s="13">
        <v>1</v>
      </c>
      <c r="T160" s="13"/>
      <c r="U160" s="18" t="s">
        <v>13</v>
      </c>
      <c r="V160" s="18">
        <v>10</v>
      </c>
      <c r="W160" s="1"/>
      <c r="X160" s="26"/>
      <c r="Y160" s="22">
        <f>O160*R160</f>
        <v>100</v>
      </c>
      <c r="Z160" s="26"/>
      <c r="AA160" s="20" t="s">
        <v>354</v>
      </c>
      <c r="AB160" s="11" t="s">
        <v>718</v>
      </c>
    </row>
    <row r="161" spans="1:28" s="12" customFormat="1" ht="29.25" customHeight="1">
      <c r="A161" s="26"/>
      <c r="B161" s="2" t="s">
        <v>263</v>
      </c>
      <c r="C161" s="2" t="s">
        <v>72</v>
      </c>
      <c r="D161" s="2" t="s">
        <v>706</v>
      </c>
      <c r="E161" s="2"/>
      <c r="F161" s="2"/>
      <c r="G161" s="2"/>
      <c r="H161" s="2" t="s">
        <v>202</v>
      </c>
      <c r="I161" s="9"/>
      <c r="J161" s="2">
        <v>152</v>
      </c>
      <c r="K161" s="2" t="s">
        <v>768</v>
      </c>
      <c r="L161" s="2"/>
      <c r="M161" s="22" t="s">
        <v>353</v>
      </c>
      <c r="N161" s="22"/>
      <c r="O161" s="2">
        <v>40</v>
      </c>
      <c r="P161" s="2"/>
      <c r="Q161" s="2"/>
      <c r="R161" s="1">
        <v>5</v>
      </c>
      <c r="S161" s="1">
        <v>5</v>
      </c>
      <c r="T161" s="1"/>
      <c r="U161" s="18" t="s">
        <v>13</v>
      </c>
      <c r="V161" s="18">
        <v>10</v>
      </c>
      <c r="W161" s="1"/>
      <c r="X161" s="26"/>
      <c r="Y161" s="22"/>
      <c r="Z161" s="26"/>
      <c r="AA161" s="20" t="s">
        <v>354</v>
      </c>
      <c r="AB161" s="11"/>
    </row>
    <row r="162" spans="1:28" s="12" customFormat="1" ht="29.25" customHeight="1">
      <c r="A162" s="26"/>
      <c r="B162" s="2" t="s">
        <v>264</v>
      </c>
      <c r="C162" s="2" t="s">
        <v>73</v>
      </c>
      <c r="D162" s="2" t="s">
        <v>714</v>
      </c>
      <c r="E162" s="2"/>
      <c r="F162" s="2"/>
      <c r="G162" s="2"/>
      <c r="H162" s="2" t="s">
        <v>202</v>
      </c>
      <c r="I162" s="9"/>
      <c r="J162" s="28">
        <v>77</v>
      </c>
      <c r="K162" s="2" t="s">
        <v>768</v>
      </c>
      <c r="L162" s="2"/>
      <c r="M162" s="22" t="s">
        <v>353</v>
      </c>
      <c r="N162" s="22"/>
      <c r="O162" s="28">
        <v>25</v>
      </c>
      <c r="P162" s="28"/>
      <c r="Q162" s="28"/>
      <c r="R162" s="1">
        <v>1</v>
      </c>
      <c r="S162" s="1">
        <v>1</v>
      </c>
      <c r="T162" s="1"/>
      <c r="U162" s="18" t="s">
        <v>13</v>
      </c>
      <c r="V162" s="18">
        <v>10</v>
      </c>
      <c r="W162" s="1"/>
      <c r="X162" s="26"/>
      <c r="Y162" s="22">
        <v>25</v>
      </c>
      <c r="Z162" s="26"/>
      <c r="AA162" s="20" t="s">
        <v>354</v>
      </c>
      <c r="AB162" s="11"/>
    </row>
    <row r="163" spans="1:28" s="12" customFormat="1" ht="29.25" customHeight="1">
      <c r="A163" s="26"/>
      <c r="B163" s="2" t="s">
        <v>293</v>
      </c>
      <c r="C163" s="2" t="s">
        <v>294</v>
      </c>
      <c r="D163" s="2" t="s">
        <v>706</v>
      </c>
      <c r="E163" s="2"/>
      <c r="F163" s="2"/>
      <c r="G163" s="2"/>
      <c r="H163" s="2" t="s">
        <v>202</v>
      </c>
      <c r="I163" s="9"/>
      <c r="J163" s="2">
        <v>149</v>
      </c>
      <c r="K163" s="2" t="s">
        <v>768</v>
      </c>
      <c r="L163" s="2"/>
      <c r="M163" s="22" t="s">
        <v>353</v>
      </c>
      <c r="N163" s="22"/>
      <c r="O163" s="2">
        <v>40</v>
      </c>
      <c r="P163" s="2"/>
      <c r="Q163" s="2"/>
      <c r="R163" s="1">
        <v>1</v>
      </c>
      <c r="S163" s="1">
        <v>1</v>
      </c>
      <c r="T163" s="1"/>
      <c r="U163" s="18" t="s">
        <v>13</v>
      </c>
      <c r="V163" s="18">
        <v>10</v>
      </c>
      <c r="W163" s="1"/>
      <c r="X163" s="26"/>
      <c r="Y163" s="22">
        <f>O163*R163</f>
        <v>40</v>
      </c>
      <c r="Z163" s="26"/>
      <c r="AA163" s="20" t="s">
        <v>354</v>
      </c>
      <c r="AB163" s="11"/>
    </row>
    <row r="164" spans="1:28" s="12" customFormat="1" ht="29.25" customHeight="1">
      <c r="A164" s="26"/>
      <c r="B164" s="2" t="s">
        <v>484</v>
      </c>
      <c r="C164" s="2" t="s">
        <v>153</v>
      </c>
      <c r="D164" s="2" t="s">
        <v>710</v>
      </c>
      <c r="E164" s="2"/>
      <c r="F164" s="2"/>
      <c r="G164" s="2"/>
      <c r="H164" s="2" t="s">
        <v>202</v>
      </c>
      <c r="I164" s="9"/>
      <c r="J164" s="2">
        <v>112</v>
      </c>
      <c r="K164" s="2" t="s">
        <v>768</v>
      </c>
      <c r="L164" s="2"/>
      <c r="M164" s="22" t="s">
        <v>353</v>
      </c>
      <c r="N164" s="22"/>
      <c r="O164" s="2">
        <v>30</v>
      </c>
      <c r="P164" s="2"/>
      <c r="Q164" s="2"/>
      <c r="R164" s="1">
        <v>5</v>
      </c>
      <c r="S164" s="1">
        <v>5</v>
      </c>
      <c r="T164" s="1"/>
      <c r="U164" s="18" t="s">
        <v>13</v>
      </c>
      <c r="V164" s="18">
        <v>10</v>
      </c>
      <c r="W164" s="1"/>
      <c r="X164" s="26"/>
      <c r="Y164" s="22">
        <f>O164*R164</f>
        <v>150</v>
      </c>
      <c r="Z164" s="26"/>
      <c r="AA164" s="20" t="s">
        <v>354</v>
      </c>
      <c r="AB164" s="11" t="s">
        <v>711</v>
      </c>
    </row>
    <row r="165" spans="1:28" s="12" customFormat="1" ht="29.25" customHeight="1">
      <c r="A165" s="26"/>
      <c r="B165" s="2" t="s">
        <v>485</v>
      </c>
      <c r="C165" s="2" t="s">
        <v>10</v>
      </c>
      <c r="D165" s="2" t="s">
        <v>707</v>
      </c>
      <c r="E165" s="2"/>
      <c r="F165" s="2"/>
      <c r="G165" s="2"/>
      <c r="H165" s="2" t="s">
        <v>202</v>
      </c>
      <c r="I165" s="9"/>
      <c r="J165" s="2">
        <v>235</v>
      </c>
      <c r="K165" s="2" t="s">
        <v>360</v>
      </c>
      <c r="L165" s="2"/>
      <c r="M165" s="22" t="s">
        <v>353</v>
      </c>
      <c r="N165" s="22"/>
      <c r="O165" s="2">
        <v>50</v>
      </c>
      <c r="P165" s="2"/>
      <c r="Q165" s="2"/>
      <c r="R165" s="1">
        <v>6</v>
      </c>
      <c r="S165" s="1">
        <v>6</v>
      </c>
      <c r="T165" s="1"/>
      <c r="U165" s="18" t="s">
        <v>13</v>
      </c>
      <c r="V165" s="18">
        <v>10</v>
      </c>
      <c r="W165" s="1"/>
      <c r="X165" s="26"/>
      <c r="Y165" s="22">
        <f>O165*R165</f>
        <v>300</v>
      </c>
      <c r="Z165" s="26"/>
      <c r="AA165" s="20" t="s">
        <v>354</v>
      </c>
      <c r="AB165" s="11" t="s">
        <v>708</v>
      </c>
    </row>
    <row r="166" spans="1:28" s="12" customFormat="1" ht="29.25" customHeight="1">
      <c r="A166" s="26"/>
      <c r="B166" s="2" t="s">
        <v>927</v>
      </c>
      <c r="C166" s="2" t="s">
        <v>928</v>
      </c>
      <c r="D166" s="2"/>
      <c r="E166" s="2"/>
      <c r="F166" s="2"/>
      <c r="G166" s="2"/>
      <c r="H166" s="2" t="s">
        <v>202</v>
      </c>
      <c r="I166" s="9" t="s">
        <v>303</v>
      </c>
      <c r="J166" s="25">
        <v>124</v>
      </c>
      <c r="K166" s="2" t="s">
        <v>929</v>
      </c>
      <c r="L166" s="2"/>
      <c r="M166" s="22" t="s">
        <v>353</v>
      </c>
      <c r="N166" s="22"/>
      <c r="O166" s="25">
        <v>35</v>
      </c>
      <c r="P166" s="25"/>
      <c r="Q166" s="25"/>
      <c r="R166" s="13">
        <v>1</v>
      </c>
      <c r="S166" s="13">
        <v>1</v>
      </c>
      <c r="T166" s="13"/>
      <c r="U166" s="18" t="s">
        <v>13</v>
      </c>
      <c r="V166" s="19">
        <v>11</v>
      </c>
      <c r="W166" s="1" t="s">
        <v>364</v>
      </c>
      <c r="X166" s="26"/>
      <c r="Y166" s="22">
        <f>O166*R166</f>
        <v>35</v>
      </c>
      <c r="Z166" s="26"/>
      <c r="AA166" s="20" t="s">
        <v>354</v>
      </c>
      <c r="AB166" s="11"/>
    </row>
    <row r="167" spans="1:28" s="12" customFormat="1" ht="29.25" customHeight="1">
      <c r="A167" s="26"/>
      <c r="B167" s="2" t="s">
        <v>930</v>
      </c>
      <c r="C167" s="2" t="s">
        <v>931</v>
      </c>
      <c r="D167" s="2" t="s">
        <v>229</v>
      </c>
      <c r="E167" s="2"/>
      <c r="F167" s="2"/>
      <c r="G167" s="2"/>
      <c r="H167" s="2" t="s">
        <v>202</v>
      </c>
      <c r="I167" s="9" t="s">
        <v>303</v>
      </c>
      <c r="J167" s="25">
        <v>128</v>
      </c>
      <c r="K167" s="2" t="s">
        <v>735</v>
      </c>
      <c r="L167" s="2" t="s">
        <v>932</v>
      </c>
      <c r="M167" s="22" t="s">
        <v>353</v>
      </c>
      <c r="N167" s="22"/>
      <c r="O167" s="25">
        <v>70</v>
      </c>
      <c r="P167" s="25"/>
      <c r="Q167" s="25"/>
      <c r="R167" s="13">
        <v>1</v>
      </c>
      <c r="S167" s="13">
        <v>1</v>
      </c>
      <c r="T167" s="13"/>
      <c r="U167" s="18" t="s">
        <v>13</v>
      </c>
      <c r="V167" s="19">
        <v>11</v>
      </c>
      <c r="W167" s="1" t="s">
        <v>364</v>
      </c>
      <c r="X167" s="26"/>
      <c r="Y167" s="22">
        <f>O167*R167</f>
        <v>70</v>
      </c>
      <c r="Z167" s="26"/>
      <c r="AA167" s="20" t="s">
        <v>354</v>
      </c>
      <c r="AB167" s="11" t="s">
        <v>933</v>
      </c>
    </row>
    <row r="168" spans="1:28" s="12" customFormat="1" ht="29.25" customHeight="1">
      <c r="A168" s="26"/>
      <c r="B168" s="2" t="s">
        <v>265</v>
      </c>
      <c r="C168" s="2" t="s">
        <v>266</v>
      </c>
      <c r="D168" s="2"/>
      <c r="E168" s="2"/>
      <c r="F168" s="2"/>
      <c r="G168" s="2"/>
      <c r="H168" s="2" t="s">
        <v>202</v>
      </c>
      <c r="I168" s="9"/>
      <c r="J168" s="2">
        <v>280</v>
      </c>
      <c r="K168" s="2" t="s">
        <v>735</v>
      </c>
      <c r="L168" s="2"/>
      <c r="M168" s="22" t="s">
        <v>353</v>
      </c>
      <c r="N168" s="22"/>
      <c r="O168" s="2">
        <v>75</v>
      </c>
      <c r="P168" s="2"/>
      <c r="Q168" s="2"/>
      <c r="R168" s="1">
        <v>2</v>
      </c>
      <c r="S168" s="1">
        <v>2</v>
      </c>
      <c r="T168" s="1"/>
      <c r="U168" s="18" t="s">
        <v>13</v>
      </c>
      <c r="V168" s="18">
        <v>11</v>
      </c>
      <c r="W168" s="1"/>
      <c r="X168" s="26"/>
      <c r="Y168" s="22">
        <f>O168*R168</f>
        <v>150</v>
      </c>
      <c r="Z168" s="26"/>
      <c r="AA168" s="20" t="s">
        <v>354</v>
      </c>
      <c r="AB168" s="11"/>
    </row>
    <row r="169" spans="1:28" s="12" customFormat="1" ht="29.25" customHeight="1">
      <c r="A169" s="26"/>
      <c r="B169" s="2" t="s">
        <v>486</v>
      </c>
      <c r="C169" s="2" t="s">
        <v>267</v>
      </c>
      <c r="D169" s="2" t="s">
        <v>742</v>
      </c>
      <c r="E169" s="2"/>
      <c r="F169" s="2"/>
      <c r="G169" s="2"/>
      <c r="H169" s="2" t="s">
        <v>202</v>
      </c>
      <c r="I169" s="9"/>
      <c r="J169" s="2">
        <v>313</v>
      </c>
      <c r="K169" s="2" t="s">
        <v>735</v>
      </c>
      <c r="L169" s="2"/>
      <c r="M169" s="22" t="s">
        <v>353</v>
      </c>
      <c r="N169" s="22"/>
      <c r="O169" s="2">
        <v>80</v>
      </c>
      <c r="P169" s="2"/>
      <c r="Q169" s="2"/>
      <c r="R169" s="13">
        <v>1</v>
      </c>
      <c r="S169" s="13">
        <v>1</v>
      </c>
      <c r="T169" s="13"/>
      <c r="U169" s="18" t="s">
        <v>13</v>
      </c>
      <c r="V169" s="18">
        <v>11</v>
      </c>
      <c r="W169" s="1"/>
      <c r="X169" s="26"/>
      <c r="Y169" s="22">
        <f>O169*R169</f>
        <v>80</v>
      </c>
      <c r="Z169" s="26"/>
      <c r="AA169" s="20" t="s">
        <v>354</v>
      </c>
      <c r="AB169" s="11" t="s">
        <v>743</v>
      </c>
    </row>
    <row r="170" spans="1:28" s="12" customFormat="1" ht="29.25" customHeight="1">
      <c r="A170" s="26"/>
      <c r="B170" s="2" t="s">
        <v>487</v>
      </c>
      <c r="C170" s="2" t="s">
        <v>48</v>
      </c>
      <c r="D170" s="2" t="s">
        <v>720</v>
      </c>
      <c r="E170" s="2"/>
      <c r="F170" s="2"/>
      <c r="G170" s="2"/>
      <c r="H170" s="2" t="s">
        <v>202</v>
      </c>
      <c r="I170" s="9"/>
      <c r="J170" s="2">
        <v>240</v>
      </c>
      <c r="K170" s="2" t="s">
        <v>360</v>
      </c>
      <c r="L170" s="2">
        <v>158.19999999999999</v>
      </c>
      <c r="M170" s="22" t="s">
        <v>353</v>
      </c>
      <c r="N170" s="22"/>
      <c r="O170" s="2">
        <v>65</v>
      </c>
      <c r="P170" s="2"/>
      <c r="Q170" s="2"/>
      <c r="R170" s="1">
        <v>12</v>
      </c>
      <c r="S170" s="1">
        <v>12</v>
      </c>
      <c r="T170" s="1"/>
      <c r="U170" s="18" t="s">
        <v>13</v>
      </c>
      <c r="V170" s="18">
        <v>11</v>
      </c>
      <c r="W170" s="1"/>
      <c r="X170" s="26"/>
      <c r="Y170" s="22">
        <f>O170*R170</f>
        <v>780</v>
      </c>
      <c r="Z170" s="26"/>
      <c r="AA170" s="20" t="s">
        <v>354</v>
      </c>
      <c r="AB170" s="11" t="s">
        <v>723</v>
      </c>
    </row>
    <row r="171" spans="1:28" s="12" customFormat="1" ht="29.25" customHeight="1">
      <c r="A171" s="26"/>
      <c r="B171" s="2" t="s">
        <v>488</v>
      </c>
      <c r="C171" s="2" t="s">
        <v>312</v>
      </c>
      <c r="D171" s="2" t="s">
        <v>730</v>
      </c>
      <c r="E171" s="2"/>
      <c r="F171" s="2"/>
      <c r="G171" s="2"/>
      <c r="H171" s="2" t="s">
        <v>202</v>
      </c>
      <c r="I171" s="9"/>
      <c r="J171" s="2">
        <v>304</v>
      </c>
      <c r="K171" s="2" t="s">
        <v>360</v>
      </c>
      <c r="L171" s="2">
        <v>155.9042</v>
      </c>
      <c r="M171" s="22" t="s">
        <v>353</v>
      </c>
      <c r="N171" s="22"/>
      <c r="O171" s="2">
        <v>80</v>
      </c>
      <c r="P171" s="2"/>
      <c r="Q171" s="2"/>
      <c r="R171" s="13">
        <v>2</v>
      </c>
      <c r="S171" s="13">
        <v>2</v>
      </c>
      <c r="T171" s="13"/>
      <c r="U171" s="18" t="s">
        <v>13</v>
      </c>
      <c r="V171" s="18">
        <v>11</v>
      </c>
      <c r="W171" s="1"/>
      <c r="X171" s="26"/>
      <c r="Y171" s="22">
        <f>O171*R171</f>
        <v>160</v>
      </c>
      <c r="Z171" s="26"/>
      <c r="AA171" s="20" t="s">
        <v>354</v>
      </c>
      <c r="AB171" s="11" t="s">
        <v>731</v>
      </c>
    </row>
    <row r="172" spans="1:28" s="12" customFormat="1" ht="29.25" customHeight="1">
      <c r="A172" s="26"/>
      <c r="B172" s="2" t="s">
        <v>489</v>
      </c>
      <c r="C172" s="2" t="s">
        <v>22</v>
      </c>
      <c r="D172" s="2" t="s">
        <v>726</v>
      </c>
      <c r="E172" s="2"/>
      <c r="F172" s="2"/>
      <c r="G172" s="2"/>
      <c r="H172" s="2" t="s">
        <v>202</v>
      </c>
      <c r="I172" s="9"/>
      <c r="J172" s="2">
        <v>383</v>
      </c>
      <c r="K172" s="2" t="s">
        <v>360</v>
      </c>
      <c r="L172" s="2">
        <v>616.89144999999996</v>
      </c>
      <c r="M172" s="22" t="s">
        <v>353</v>
      </c>
      <c r="N172" s="22"/>
      <c r="O172" s="2">
        <v>100</v>
      </c>
      <c r="P172" s="2"/>
      <c r="Q172" s="2"/>
      <c r="R172" s="1">
        <v>5</v>
      </c>
      <c r="S172" s="1">
        <v>5</v>
      </c>
      <c r="T172" s="1"/>
      <c r="U172" s="18" t="s">
        <v>13</v>
      </c>
      <c r="V172" s="18">
        <v>11</v>
      </c>
      <c r="W172" s="1"/>
      <c r="X172" s="26"/>
      <c r="Y172" s="22">
        <f>O172*R172</f>
        <v>500</v>
      </c>
      <c r="Z172" s="26"/>
      <c r="AA172" s="20" t="s">
        <v>354</v>
      </c>
      <c r="AB172" s="11" t="s">
        <v>727</v>
      </c>
    </row>
    <row r="173" spans="1:28" s="12" customFormat="1" ht="29.25" customHeight="1">
      <c r="A173" s="26"/>
      <c r="B173" s="2" t="s">
        <v>490</v>
      </c>
      <c r="C173" s="2" t="s">
        <v>299</v>
      </c>
      <c r="D173" s="2" t="s">
        <v>724</v>
      </c>
      <c r="E173" s="2"/>
      <c r="F173" s="2"/>
      <c r="G173" s="2"/>
      <c r="H173" s="2" t="s">
        <v>202</v>
      </c>
      <c r="I173" s="9"/>
      <c r="J173" s="2">
        <v>253</v>
      </c>
      <c r="K173" s="2" t="s">
        <v>360</v>
      </c>
      <c r="L173" s="2"/>
      <c r="M173" s="22" t="s">
        <v>353</v>
      </c>
      <c r="N173" s="22"/>
      <c r="O173" s="2">
        <v>70</v>
      </c>
      <c r="P173" s="2"/>
      <c r="Q173" s="2"/>
      <c r="R173" s="1">
        <v>5</v>
      </c>
      <c r="S173" s="1">
        <v>5</v>
      </c>
      <c r="T173" s="1"/>
      <c r="U173" s="18" t="s">
        <v>13</v>
      </c>
      <c r="V173" s="18">
        <v>11</v>
      </c>
      <c r="W173" s="1"/>
      <c r="X173" s="26"/>
      <c r="Y173" s="22">
        <f>O173*R173</f>
        <v>350</v>
      </c>
      <c r="Z173" s="26"/>
      <c r="AA173" s="20" t="s">
        <v>354</v>
      </c>
      <c r="AB173" s="11" t="s">
        <v>725</v>
      </c>
    </row>
    <row r="174" spans="1:28" s="12" customFormat="1" ht="29.25" customHeight="1">
      <c r="A174" s="26"/>
      <c r="B174" s="2" t="s">
        <v>491</v>
      </c>
      <c r="C174" s="2" t="s">
        <v>173</v>
      </c>
      <c r="D174" s="2" t="s">
        <v>732</v>
      </c>
      <c r="E174" s="2"/>
      <c r="F174" s="2"/>
      <c r="G174" s="2"/>
      <c r="H174" s="2" t="s">
        <v>202</v>
      </c>
      <c r="I174" s="9"/>
      <c r="J174" s="2">
        <v>246</v>
      </c>
      <c r="K174" s="2" t="s">
        <v>360</v>
      </c>
      <c r="L174" s="2">
        <v>616.83100000000002</v>
      </c>
      <c r="M174" s="22" t="s">
        <v>353</v>
      </c>
      <c r="N174" s="22"/>
      <c r="O174" s="2">
        <v>65</v>
      </c>
      <c r="P174" s="2"/>
      <c r="Q174" s="2"/>
      <c r="R174" s="1">
        <v>1</v>
      </c>
      <c r="S174" s="1">
        <v>1</v>
      </c>
      <c r="T174" s="1"/>
      <c r="U174" s="18" t="s">
        <v>13</v>
      </c>
      <c r="V174" s="18">
        <v>11</v>
      </c>
      <c r="W174" s="1"/>
      <c r="X174" s="26"/>
      <c r="Y174" s="22">
        <f>O174*R174</f>
        <v>65</v>
      </c>
      <c r="Z174" s="26"/>
      <c r="AA174" s="20" t="s">
        <v>354</v>
      </c>
      <c r="AB174" s="11" t="s">
        <v>733</v>
      </c>
    </row>
    <row r="175" spans="1:28" s="12" customFormat="1" ht="29.25" customHeight="1">
      <c r="A175" s="26"/>
      <c r="B175" s="2" t="s">
        <v>198</v>
      </c>
      <c r="C175" s="2" t="s">
        <v>199</v>
      </c>
      <c r="D175" s="2"/>
      <c r="E175" s="2"/>
      <c r="F175" s="2"/>
      <c r="G175" s="2"/>
      <c r="H175" s="2" t="s">
        <v>202</v>
      </c>
      <c r="I175" s="9"/>
      <c r="J175" s="2">
        <v>104</v>
      </c>
      <c r="K175" s="2" t="s">
        <v>769</v>
      </c>
      <c r="L175" s="2">
        <v>616.81061999999997</v>
      </c>
      <c r="M175" s="22" t="s">
        <v>353</v>
      </c>
      <c r="N175" s="22"/>
      <c r="O175" s="2">
        <v>110</v>
      </c>
      <c r="P175" s="2"/>
      <c r="Q175" s="2"/>
      <c r="R175" s="1">
        <v>1</v>
      </c>
      <c r="S175" s="1">
        <v>1</v>
      </c>
      <c r="T175" s="1"/>
      <c r="U175" s="18" t="s">
        <v>13</v>
      </c>
      <c r="V175" s="18">
        <v>11</v>
      </c>
      <c r="W175" s="1"/>
      <c r="X175" s="26"/>
      <c r="Y175" s="22">
        <f>O175*R175</f>
        <v>110</v>
      </c>
      <c r="Z175" s="26"/>
      <c r="AA175" s="20" t="s">
        <v>354</v>
      </c>
      <c r="AB175" s="11" t="s">
        <v>740</v>
      </c>
    </row>
    <row r="176" spans="1:28" s="12" customFormat="1" ht="29.25" customHeight="1">
      <c r="A176" s="26"/>
      <c r="B176" s="2" t="s">
        <v>268</v>
      </c>
      <c r="C176" s="2" t="s">
        <v>269</v>
      </c>
      <c r="D176" s="2"/>
      <c r="E176" s="2"/>
      <c r="F176" s="2"/>
      <c r="G176" s="2"/>
      <c r="H176" s="2" t="s">
        <v>202</v>
      </c>
      <c r="I176" s="9"/>
      <c r="J176" s="2">
        <v>118</v>
      </c>
      <c r="K176" s="2" t="s">
        <v>749</v>
      </c>
      <c r="L176" s="2"/>
      <c r="M176" s="22" t="s">
        <v>353</v>
      </c>
      <c r="N176" s="22"/>
      <c r="O176" s="2">
        <v>120</v>
      </c>
      <c r="P176" s="2"/>
      <c r="Q176" s="2"/>
      <c r="R176" s="1">
        <v>5</v>
      </c>
      <c r="S176" s="1">
        <v>5</v>
      </c>
      <c r="T176" s="1"/>
      <c r="U176" s="18" t="s">
        <v>13</v>
      </c>
      <c r="V176" s="18">
        <v>11</v>
      </c>
      <c r="W176" s="1"/>
      <c r="X176" s="26"/>
      <c r="Y176" s="22">
        <f>O176*R176</f>
        <v>600</v>
      </c>
      <c r="Z176" s="26"/>
      <c r="AA176" s="20" t="s">
        <v>354</v>
      </c>
      <c r="AB176" s="11" t="s">
        <v>738</v>
      </c>
    </row>
    <row r="177" spans="1:28" s="12" customFormat="1" ht="29.25" customHeight="1">
      <c r="A177" s="26"/>
      <c r="B177" s="2" t="s">
        <v>123</v>
      </c>
      <c r="C177" s="2" t="s">
        <v>122</v>
      </c>
      <c r="D177" s="2"/>
      <c r="E177" s="2"/>
      <c r="F177" s="2"/>
      <c r="G177" s="2"/>
      <c r="H177" s="2" t="s">
        <v>202</v>
      </c>
      <c r="I177" s="9"/>
      <c r="J177" s="2">
        <v>706</v>
      </c>
      <c r="K177" s="2" t="s">
        <v>749</v>
      </c>
      <c r="L177" s="2"/>
      <c r="M177" s="22" t="s">
        <v>353</v>
      </c>
      <c r="N177" s="22"/>
      <c r="O177" s="2">
        <v>180</v>
      </c>
      <c r="P177" s="2"/>
      <c r="Q177" s="2"/>
      <c r="R177" s="1">
        <v>1</v>
      </c>
      <c r="S177" s="1">
        <v>1</v>
      </c>
      <c r="T177" s="1"/>
      <c r="U177" s="18" t="s">
        <v>13</v>
      </c>
      <c r="V177" s="18">
        <v>11</v>
      </c>
      <c r="W177" s="1"/>
      <c r="X177" s="26"/>
      <c r="Y177" s="22">
        <f>O177*R177</f>
        <v>180</v>
      </c>
      <c r="Z177" s="26"/>
      <c r="AA177" s="20" t="s">
        <v>354</v>
      </c>
      <c r="AB177" s="11"/>
    </row>
    <row r="178" spans="1:28" s="12" customFormat="1" ht="29.25" customHeight="1">
      <c r="A178" s="26"/>
      <c r="B178" s="2" t="s">
        <v>18</v>
      </c>
      <c r="C178" s="2" t="s">
        <v>270</v>
      </c>
      <c r="D178" s="2" t="s">
        <v>745</v>
      </c>
      <c r="E178" s="2"/>
      <c r="F178" s="2"/>
      <c r="G178" s="2"/>
      <c r="H178" s="2" t="s">
        <v>202</v>
      </c>
      <c r="I178" s="9"/>
      <c r="J178" s="2">
        <v>289</v>
      </c>
      <c r="K178" s="2" t="s">
        <v>749</v>
      </c>
      <c r="L178" s="2"/>
      <c r="M178" s="22" t="s">
        <v>353</v>
      </c>
      <c r="N178" s="22"/>
      <c r="O178" s="2">
        <v>75</v>
      </c>
      <c r="P178" s="2"/>
      <c r="Q178" s="2"/>
      <c r="R178" s="1">
        <v>1</v>
      </c>
      <c r="S178" s="1">
        <v>1</v>
      </c>
      <c r="T178" s="1"/>
      <c r="U178" s="18" t="s">
        <v>13</v>
      </c>
      <c r="V178" s="18">
        <v>11</v>
      </c>
      <c r="W178" s="1"/>
      <c r="X178" s="26"/>
      <c r="Y178" s="22">
        <f>O178*R178</f>
        <v>75</v>
      </c>
      <c r="Z178" s="26"/>
      <c r="AA178" s="20" t="s">
        <v>354</v>
      </c>
      <c r="AB178" s="11"/>
    </row>
    <row r="179" spans="1:28" s="12" customFormat="1" ht="29.25" customHeight="1">
      <c r="A179" s="26"/>
      <c r="B179" s="2" t="s">
        <v>165</v>
      </c>
      <c r="C179" s="2" t="s">
        <v>166</v>
      </c>
      <c r="D179" s="2"/>
      <c r="E179" s="2"/>
      <c r="F179" s="2"/>
      <c r="G179" s="2"/>
      <c r="H179" s="2" t="s">
        <v>202</v>
      </c>
      <c r="I179" s="9"/>
      <c r="J179" s="2">
        <v>154</v>
      </c>
      <c r="K179" s="2" t="s">
        <v>749</v>
      </c>
      <c r="L179" s="2"/>
      <c r="M179" s="22" t="s">
        <v>353</v>
      </c>
      <c r="N179" s="22"/>
      <c r="O179" s="2">
        <v>50</v>
      </c>
      <c r="P179" s="2"/>
      <c r="Q179" s="2"/>
      <c r="R179" s="1">
        <v>1</v>
      </c>
      <c r="S179" s="1">
        <v>1</v>
      </c>
      <c r="T179" s="1"/>
      <c r="U179" s="18" t="s">
        <v>13</v>
      </c>
      <c r="V179" s="18">
        <v>11</v>
      </c>
      <c r="W179" s="1"/>
      <c r="X179" s="26"/>
      <c r="Y179" s="22">
        <f>O179*R179</f>
        <v>50</v>
      </c>
      <c r="Z179" s="26"/>
      <c r="AA179" s="20" t="s">
        <v>354</v>
      </c>
      <c r="AB179" s="11"/>
    </row>
    <row r="180" spans="1:28" s="12" customFormat="1" ht="29.25" customHeight="1">
      <c r="A180" s="26"/>
      <c r="B180" s="2" t="s">
        <v>181</v>
      </c>
      <c r="C180" s="2" t="s">
        <v>19</v>
      </c>
      <c r="D180" s="2" t="s">
        <v>746</v>
      </c>
      <c r="E180" s="2"/>
      <c r="F180" s="2"/>
      <c r="G180" s="2"/>
      <c r="H180" s="2" t="s">
        <v>202</v>
      </c>
      <c r="I180" s="9"/>
      <c r="J180" s="2">
        <v>225</v>
      </c>
      <c r="K180" s="2" t="s">
        <v>749</v>
      </c>
      <c r="L180" s="2"/>
      <c r="M180" s="22" t="s">
        <v>353</v>
      </c>
      <c r="N180" s="22"/>
      <c r="O180" s="2">
        <v>60</v>
      </c>
      <c r="P180" s="2"/>
      <c r="Q180" s="2"/>
      <c r="R180" s="1">
        <v>1</v>
      </c>
      <c r="S180" s="1">
        <v>1</v>
      </c>
      <c r="T180" s="1"/>
      <c r="U180" s="18" t="s">
        <v>13</v>
      </c>
      <c r="V180" s="18">
        <v>11</v>
      </c>
      <c r="W180" s="1"/>
      <c r="X180" s="26"/>
      <c r="Y180" s="22">
        <f>O180*R180</f>
        <v>60</v>
      </c>
      <c r="Z180" s="26"/>
      <c r="AA180" s="20" t="s">
        <v>354</v>
      </c>
      <c r="AB180" s="11"/>
    </row>
    <row r="181" spans="1:28" s="12" customFormat="1" ht="29.25" customHeight="1">
      <c r="A181" s="26"/>
      <c r="B181" s="2" t="s">
        <v>492</v>
      </c>
      <c r="C181" s="2" t="s">
        <v>54</v>
      </c>
      <c r="D181" s="2"/>
      <c r="E181" s="2"/>
      <c r="F181" s="2"/>
      <c r="G181" s="2"/>
      <c r="H181" s="2" t="s">
        <v>202</v>
      </c>
      <c r="I181" s="9"/>
      <c r="J181" s="2">
        <v>414</v>
      </c>
      <c r="K181" s="2" t="s">
        <v>737</v>
      </c>
      <c r="L181" s="2"/>
      <c r="M181" s="22" t="s">
        <v>353</v>
      </c>
      <c r="N181" s="22"/>
      <c r="O181" s="2">
        <v>110</v>
      </c>
      <c r="P181" s="2"/>
      <c r="Q181" s="2"/>
      <c r="R181" s="1">
        <v>2</v>
      </c>
      <c r="S181" s="1">
        <v>2</v>
      </c>
      <c r="T181" s="1"/>
      <c r="U181" s="18" t="s">
        <v>13</v>
      </c>
      <c r="V181" s="18">
        <v>11</v>
      </c>
      <c r="W181" s="1"/>
      <c r="X181" s="26"/>
      <c r="Y181" s="22">
        <f>O181*R181</f>
        <v>220</v>
      </c>
      <c r="Z181" s="26"/>
      <c r="AA181" s="20" t="s">
        <v>354</v>
      </c>
      <c r="AB181" s="11"/>
    </row>
    <row r="182" spans="1:28" s="12" customFormat="1" ht="29.25" customHeight="1">
      <c r="A182" s="26"/>
      <c r="B182" s="2" t="s">
        <v>493</v>
      </c>
      <c r="C182" s="2" t="s">
        <v>124</v>
      </c>
      <c r="D182" s="2"/>
      <c r="E182" s="2"/>
      <c r="F182" s="2"/>
      <c r="G182" s="2"/>
      <c r="H182" s="2" t="s">
        <v>202</v>
      </c>
      <c r="I182" s="9"/>
      <c r="J182" s="2">
        <v>890</v>
      </c>
      <c r="K182" s="28" t="s">
        <v>734</v>
      </c>
      <c r="L182" s="2"/>
      <c r="M182" s="22" t="s">
        <v>353</v>
      </c>
      <c r="N182" s="22"/>
      <c r="O182" s="2">
        <v>230</v>
      </c>
      <c r="P182" s="2"/>
      <c r="Q182" s="2"/>
      <c r="R182" s="1">
        <v>1</v>
      </c>
      <c r="S182" s="1">
        <v>1</v>
      </c>
      <c r="T182" s="1"/>
      <c r="U182" s="18" t="s">
        <v>13</v>
      </c>
      <c r="V182" s="18">
        <v>11</v>
      </c>
      <c r="W182" s="1"/>
      <c r="X182" s="26"/>
      <c r="Y182" s="22">
        <f>O182*R182</f>
        <v>230</v>
      </c>
      <c r="Z182" s="26"/>
      <c r="AA182" s="20" t="s">
        <v>354</v>
      </c>
      <c r="AB182" s="11"/>
    </row>
    <row r="183" spans="1:28" s="12" customFormat="1" ht="29.25" customHeight="1">
      <c r="A183" s="26"/>
      <c r="B183" s="2" t="s">
        <v>21</v>
      </c>
      <c r="C183" s="2" t="s">
        <v>20</v>
      </c>
      <c r="D183" s="2"/>
      <c r="E183" s="2"/>
      <c r="F183" s="2"/>
      <c r="G183" s="2"/>
      <c r="H183" s="2" t="s">
        <v>202</v>
      </c>
      <c r="I183" s="9"/>
      <c r="J183" s="2">
        <v>244</v>
      </c>
      <c r="K183" s="2" t="s">
        <v>739</v>
      </c>
      <c r="L183" s="2"/>
      <c r="M183" s="22" t="s">
        <v>353</v>
      </c>
      <c r="N183" s="22"/>
      <c r="O183" s="2">
        <v>65</v>
      </c>
      <c r="P183" s="2"/>
      <c r="Q183" s="2"/>
      <c r="R183" s="1">
        <v>1</v>
      </c>
      <c r="S183" s="1">
        <v>1</v>
      </c>
      <c r="T183" s="1"/>
      <c r="U183" s="18" t="s">
        <v>13</v>
      </c>
      <c r="V183" s="18">
        <v>11</v>
      </c>
      <c r="W183" s="1"/>
      <c r="X183" s="26"/>
      <c r="Y183" s="22">
        <f>O183*R183</f>
        <v>65</v>
      </c>
      <c r="Z183" s="26"/>
      <c r="AA183" s="20" t="s">
        <v>354</v>
      </c>
      <c r="AB183" s="11"/>
    </row>
    <row r="184" spans="1:28" s="12" customFormat="1" ht="29.25" customHeight="1">
      <c r="A184" s="26"/>
      <c r="B184" s="2" t="s">
        <v>32</v>
      </c>
      <c r="C184" s="2" t="s">
        <v>31</v>
      </c>
      <c r="D184" s="2"/>
      <c r="E184" s="2"/>
      <c r="F184" s="2"/>
      <c r="G184" s="2"/>
      <c r="H184" s="2" t="s">
        <v>202</v>
      </c>
      <c r="I184" s="9"/>
      <c r="J184" s="2">
        <v>143</v>
      </c>
      <c r="K184" s="2" t="s">
        <v>736</v>
      </c>
      <c r="L184" s="2"/>
      <c r="M184" s="22" t="s">
        <v>353</v>
      </c>
      <c r="N184" s="22"/>
      <c r="O184" s="2">
        <v>40</v>
      </c>
      <c r="P184" s="2"/>
      <c r="Q184" s="2"/>
      <c r="R184" s="1">
        <v>1</v>
      </c>
      <c r="S184" s="1">
        <v>1</v>
      </c>
      <c r="T184" s="1"/>
      <c r="U184" s="18" t="s">
        <v>13</v>
      </c>
      <c r="V184" s="18">
        <v>11</v>
      </c>
      <c r="W184" s="1"/>
      <c r="X184" s="26"/>
      <c r="Y184" s="22">
        <f>O184*R184</f>
        <v>40</v>
      </c>
      <c r="Z184" s="26"/>
      <c r="AA184" s="20" t="s">
        <v>354</v>
      </c>
      <c r="AB184" s="11"/>
    </row>
    <row r="185" spans="1:28" s="12" customFormat="1" ht="29.25" customHeight="1">
      <c r="A185" s="26"/>
      <c r="B185" s="2" t="s">
        <v>494</v>
      </c>
      <c r="C185" s="2" t="s">
        <v>115</v>
      </c>
      <c r="D185" s="2"/>
      <c r="E185" s="2"/>
      <c r="F185" s="2"/>
      <c r="G185" s="2"/>
      <c r="H185" s="2" t="s">
        <v>202</v>
      </c>
      <c r="I185" s="9"/>
      <c r="J185" s="2">
        <v>300</v>
      </c>
      <c r="K185" s="2" t="s">
        <v>736</v>
      </c>
      <c r="L185" s="2">
        <v>616.79999999999995</v>
      </c>
      <c r="M185" s="22" t="s">
        <v>353</v>
      </c>
      <c r="N185" s="22"/>
      <c r="O185" s="2">
        <v>80</v>
      </c>
      <c r="P185" s="2"/>
      <c r="Q185" s="2"/>
      <c r="R185" s="1">
        <v>1</v>
      </c>
      <c r="S185" s="1">
        <v>1</v>
      </c>
      <c r="T185" s="1"/>
      <c r="U185" s="18" t="s">
        <v>13</v>
      </c>
      <c r="V185" s="18">
        <v>11</v>
      </c>
      <c r="W185" s="1"/>
      <c r="X185" s="26"/>
      <c r="Y185" s="22">
        <f>O185*R185</f>
        <v>80</v>
      </c>
      <c r="Z185" s="26"/>
      <c r="AA185" s="20" t="s">
        <v>354</v>
      </c>
      <c r="AB185" s="11" t="s">
        <v>744</v>
      </c>
    </row>
    <row r="186" spans="1:28" s="12" customFormat="1" ht="29.25" customHeight="1">
      <c r="A186" s="26"/>
      <c r="B186" s="2" t="s">
        <v>271</v>
      </c>
      <c r="C186" s="2" t="s">
        <v>92</v>
      </c>
      <c r="D186" s="2"/>
      <c r="E186" s="2"/>
      <c r="F186" s="2"/>
      <c r="G186" s="2"/>
      <c r="H186" s="2" t="s">
        <v>202</v>
      </c>
      <c r="I186" s="9"/>
      <c r="J186" s="2">
        <v>192</v>
      </c>
      <c r="K186" s="2" t="s">
        <v>737</v>
      </c>
      <c r="L186" s="2"/>
      <c r="M186" s="22" t="s">
        <v>353</v>
      </c>
      <c r="N186" s="22"/>
      <c r="O186" s="2">
        <v>50</v>
      </c>
      <c r="P186" s="2"/>
      <c r="Q186" s="2"/>
      <c r="R186" s="1">
        <v>1</v>
      </c>
      <c r="S186" s="1">
        <v>1</v>
      </c>
      <c r="T186" s="1"/>
      <c r="U186" s="18" t="s">
        <v>13</v>
      </c>
      <c r="V186" s="18">
        <v>11</v>
      </c>
      <c r="W186" s="1"/>
      <c r="X186" s="26"/>
      <c r="Y186" s="22">
        <f>O186*R186</f>
        <v>50</v>
      </c>
      <c r="Z186" s="26"/>
      <c r="AA186" s="20" t="s">
        <v>354</v>
      </c>
      <c r="AB186" s="11"/>
    </row>
    <row r="187" spans="1:28" s="12" customFormat="1" ht="29.25" customHeight="1">
      <c r="A187" s="26"/>
      <c r="B187" s="2" t="s">
        <v>56</v>
      </c>
      <c r="C187" s="2" t="s">
        <v>323</v>
      </c>
      <c r="D187" s="2"/>
      <c r="E187" s="2"/>
      <c r="F187" s="2"/>
      <c r="G187" s="2"/>
      <c r="H187" s="2" t="s">
        <v>202</v>
      </c>
      <c r="I187" s="9"/>
      <c r="J187" s="2">
        <v>200</v>
      </c>
      <c r="K187" s="2" t="s">
        <v>741</v>
      </c>
      <c r="L187" s="2"/>
      <c r="M187" s="22" t="s">
        <v>353</v>
      </c>
      <c r="N187" s="22"/>
      <c r="O187" s="2">
        <v>60</v>
      </c>
      <c r="P187" s="2"/>
      <c r="Q187" s="2"/>
      <c r="R187" s="13">
        <v>3</v>
      </c>
      <c r="S187" s="13">
        <v>3</v>
      </c>
      <c r="T187" s="13"/>
      <c r="U187" s="18" t="s">
        <v>13</v>
      </c>
      <c r="V187" s="18">
        <v>11</v>
      </c>
      <c r="W187" s="1"/>
      <c r="X187" s="26"/>
      <c r="Y187" s="22">
        <f>O187*R187</f>
        <v>180</v>
      </c>
      <c r="Z187" s="26"/>
      <c r="AA187" s="20" t="s">
        <v>354</v>
      </c>
      <c r="AB187" s="11"/>
    </row>
    <row r="188" spans="1:28" s="12" customFormat="1" ht="29.25" customHeight="1">
      <c r="A188" s="26"/>
      <c r="B188" s="2" t="s">
        <v>56</v>
      </c>
      <c r="C188" s="2" t="s">
        <v>55</v>
      </c>
      <c r="D188" s="2"/>
      <c r="E188" s="2"/>
      <c r="F188" s="2"/>
      <c r="G188" s="2"/>
      <c r="H188" s="2" t="s">
        <v>202</v>
      </c>
      <c r="I188" s="9"/>
      <c r="J188" s="2">
        <v>306</v>
      </c>
      <c r="K188" s="2" t="s">
        <v>741</v>
      </c>
      <c r="L188" s="2"/>
      <c r="M188" s="22" t="s">
        <v>353</v>
      </c>
      <c r="N188" s="22"/>
      <c r="O188" s="2">
        <v>310</v>
      </c>
      <c r="P188" s="2"/>
      <c r="Q188" s="2"/>
      <c r="R188" s="1">
        <v>1</v>
      </c>
      <c r="S188" s="1">
        <v>1</v>
      </c>
      <c r="T188" s="1"/>
      <c r="U188" s="18" t="s">
        <v>13</v>
      </c>
      <c r="V188" s="18">
        <v>11</v>
      </c>
      <c r="W188" s="1"/>
      <c r="X188" s="26"/>
      <c r="Y188" s="22">
        <f>O188*R188</f>
        <v>310</v>
      </c>
      <c r="Z188" s="26"/>
      <c r="AA188" s="20" t="s">
        <v>354</v>
      </c>
      <c r="AB188" s="11"/>
    </row>
    <row r="189" spans="1:28" s="12" customFormat="1" ht="29.25" customHeight="1">
      <c r="A189" s="26"/>
      <c r="B189" s="2" t="s">
        <v>180</v>
      </c>
      <c r="C189" s="2" t="s">
        <v>178</v>
      </c>
      <c r="D189" s="2"/>
      <c r="E189" s="2"/>
      <c r="F189" s="2"/>
      <c r="G189" s="2"/>
      <c r="H189" s="2" t="s">
        <v>202</v>
      </c>
      <c r="I189" s="9"/>
      <c r="J189" s="2">
        <v>111</v>
      </c>
      <c r="K189" s="2" t="s">
        <v>741</v>
      </c>
      <c r="L189" s="2"/>
      <c r="M189" s="22" t="s">
        <v>353</v>
      </c>
      <c r="N189" s="22"/>
      <c r="O189" s="2">
        <v>60</v>
      </c>
      <c r="P189" s="2"/>
      <c r="Q189" s="2"/>
      <c r="R189" s="1">
        <v>1</v>
      </c>
      <c r="S189" s="1">
        <v>1</v>
      </c>
      <c r="T189" s="1"/>
      <c r="U189" s="18" t="s">
        <v>13</v>
      </c>
      <c r="V189" s="18">
        <v>11</v>
      </c>
      <c r="W189" s="1"/>
      <c r="X189" s="26"/>
      <c r="Y189" s="22">
        <f>O189*R189</f>
        <v>60</v>
      </c>
      <c r="Z189" s="26"/>
      <c r="AA189" s="20" t="s">
        <v>354</v>
      </c>
      <c r="AB189" s="11"/>
    </row>
    <row r="190" spans="1:28" s="12" customFormat="1" ht="29.25" customHeight="1">
      <c r="A190" s="26"/>
      <c r="B190" s="2" t="s">
        <v>218</v>
      </c>
      <c r="C190" s="3" t="s">
        <v>219</v>
      </c>
      <c r="D190" s="3"/>
      <c r="E190" s="3"/>
      <c r="F190" s="3"/>
      <c r="G190" s="3"/>
      <c r="H190" s="2" t="s">
        <v>202</v>
      </c>
      <c r="I190" s="10"/>
      <c r="J190" s="3">
        <v>95</v>
      </c>
      <c r="K190" s="3" t="s">
        <v>748</v>
      </c>
      <c r="L190" s="3"/>
      <c r="M190" s="22" t="s">
        <v>353</v>
      </c>
      <c r="N190" s="22"/>
      <c r="O190" s="3">
        <v>30</v>
      </c>
      <c r="P190" s="3"/>
      <c r="Q190" s="3"/>
      <c r="R190" s="1">
        <v>1</v>
      </c>
      <c r="S190" s="1">
        <v>1</v>
      </c>
      <c r="T190" s="1"/>
      <c r="U190" s="18" t="s">
        <v>13</v>
      </c>
      <c r="V190" s="18">
        <v>11</v>
      </c>
      <c r="W190" s="1"/>
      <c r="X190" s="26"/>
      <c r="Y190" s="22">
        <f>O190*R190</f>
        <v>30</v>
      </c>
      <c r="Z190" s="26"/>
      <c r="AA190" s="20" t="s">
        <v>354</v>
      </c>
      <c r="AB190" s="11"/>
    </row>
    <row r="191" spans="1:28" s="12" customFormat="1" ht="29.25" customHeight="1">
      <c r="A191" s="26"/>
      <c r="B191" s="2" t="s">
        <v>495</v>
      </c>
      <c r="C191" s="2" t="s">
        <v>154</v>
      </c>
      <c r="D191" s="2" t="s">
        <v>273</v>
      </c>
      <c r="E191" s="2"/>
      <c r="F191" s="2"/>
      <c r="G191" s="2"/>
      <c r="H191" s="2" t="s">
        <v>202</v>
      </c>
      <c r="I191" s="9"/>
      <c r="J191" s="2">
        <v>80</v>
      </c>
      <c r="K191" s="2" t="s">
        <v>728</v>
      </c>
      <c r="L191" s="2">
        <v>616.97</v>
      </c>
      <c r="M191" s="22" t="s">
        <v>353</v>
      </c>
      <c r="N191" s="22"/>
      <c r="O191" s="2">
        <v>25</v>
      </c>
      <c r="P191" s="2"/>
      <c r="Q191" s="2"/>
      <c r="R191" s="1">
        <v>5</v>
      </c>
      <c r="S191" s="1">
        <v>5</v>
      </c>
      <c r="T191" s="1"/>
      <c r="U191" s="18" t="s">
        <v>13</v>
      </c>
      <c r="V191" s="18">
        <v>11</v>
      </c>
      <c r="W191" s="1"/>
      <c r="X191" s="26"/>
      <c r="Y191" s="22">
        <f>O191*R191</f>
        <v>125</v>
      </c>
      <c r="Z191" s="26"/>
      <c r="AA191" s="20" t="s">
        <v>354</v>
      </c>
      <c r="AB191" s="11" t="s">
        <v>729</v>
      </c>
    </row>
    <row r="192" spans="1:28" s="12" customFormat="1" ht="29.25" customHeight="1">
      <c r="A192" s="26"/>
      <c r="B192" s="2" t="s">
        <v>496</v>
      </c>
      <c r="C192" s="2" t="s">
        <v>93</v>
      </c>
      <c r="D192" s="2"/>
      <c r="E192" s="2"/>
      <c r="F192" s="2"/>
      <c r="G192" s="2"/>
      <c r="H192" s="2" t="s">
        <v>202</v>
      </c>
      <c r="I192" s="9"/>
      <c r="J192" s="2">
        <v>172</v>
      </c>
      <c r="K192" s="2" t="s">
        <v>747</v>
      </c>
      <c r="L192" s="2"/>
      <c r="M192" s="22" t="s">
        <v>353</v>
      </c>
      <c r="N192" s="22"/>
      <c r="O192" s="2">
        <v>50</v>
      </c>
      <c r="P192" s="2"/>
      <c r="Q192" s="2"/>
      <c r="R192" s="1">
        <v>1</v>
      </c>
      <c r="S192" s="1">
        <v>1</v>
      </c>
      <c r="T192" s="1"/>
      <c r="U192" s="18" t="s">
        <v>13</v>
      </c>
      <c r="V192" s="18">
        <v>12</v>
      </c>
      <c r="W192" s="1"/>
      <c r="X192" s="26"/>
      <c r="Y192" s="22">
        <f>O192*R192</f>
        <v>50</v>
      </c>
      <c r="Z192" s="26"/>
      <c r="AA192" s="20" t="s">
        <v>354</v>
      </c>
      <c r="AB192" s="11"/>
    </row>
    <row r="193" spans="1:28" s="12" customFormat="1" ht="29.25" customHeight="1">
      <c r="A193" s="26"/>
      <c r="B193" s="2" t="s">
        <v>497</v>
      </c>
      <c r="C193" s="2" t="s">
        <v>216</v>
      </c>
      <c r="D193" s="2" t="s">
        <v>763</v>
      </c>
      <c r="E193" s="2"/>
      <c r="F193" s="2"/>
      <c r="G193" s="2"/>
      <c r="H193" s="2" t="s">
        <v>202</v>
      </c>
      <c r="I193" s="9" t="s">
        <v>359</v>
      </c>
      <c r="J193" s="2">
        <v>1854</v>
      </c>
      <c r="K193" s="2" t="s">
        <v>764</v>
      </c>
      <c r="L193" s="2"/>
      <c r="M193" s="22" t="s">
        <v>353</v>
      </c>
      <c r="N193" s="22"/>
      <c r="O193" s="2">
        <v>250</v>
      </c>
      <c r="P193" s="2"/>
      <c r="Q193" s="2"/>
      <c r="R193" s="13">
        <v>2</v>
      </c>
      <c r="S193" s="13">
        <v>2</v>
      </c>
      <c r="T193" s="13"/>
      <c r="U193" s="18" t="s">
        <v>13</v>
      </c>
      <c r="V193" s="18">
        <v>12</v>
      </c>
      <c r="W193" s="1"/>
      <c r="X193" s="26"/>
      <c r="Y193" s="22">
        <f>O193*R193</f>
        <v>500</v>
      </c>
      <c r="Z193" s="26"/>
      <c r="AA193" s="20" t="s">
        <v>354</v>
      </c>
      <c r="AB193" s="11"/>
    </row>
    <row r="194" spans="1:28" s="12" customFormat="1" ht="29.25" customHeight="1">
      <c r="A194" s="26"/>
      <c r="B194" s="2" t="s">
        <v>498</v>
      </c>
      <c r="C194" s="2" t="s">
        <v>212</v>
      </c>
      <c r="D194" s="2"/>
      <c r="E194" s="2"/>
      <c r="F194" s="2"/>
      <c r="G194" s="2"/>
      <c r="H194" s="2" t="s">
        <v>202</v>
      </c>
      <c r="I194" s="9"/>
      <c r="J194" s="2">
        <v>231</v>
      </c>
      <c r="K194" s="2" t="s">
        <v>764</v>
      </c>
      <c r="L194" s="2">
        <v>616</v>
      </c>
      <c r="M194" s="22" t="s">
        <v>353</v>
      </c>
      <c r="N194" s="22"/>
      <c r="O194" s="2">
        <v>60</v>
      </c>
      <c r="P194" s="2"/>
      <c r="Q194" s="2"/>
      <c r="R194" s="1">
        <v>1</v>
      </c>
      <c r="S194" s="1">
        <v>1</v>
      </c>
      <c r="T194" s="1"/>
      <c r="U194" s="18" t="s">
        <v>13</v>
      </c>
      <c r="V194" s="18">
        <v>12</v>
      </c>
      <c r="W194" s="1"/>
      <c r="X194" s="26"/>
      <c r="Y194" s="22">
        <f>O194*R194</f>
        <v>60</v>
      </c>
      <c r="Z194" s="26"/>
      <c r="AA194" s="20" t="s">
        <v>354</v>
      </c>
      <c r="AB194" s="11" t="s">
        <v>762</v>
      </c>
    </row>
    <row r="195" spans="1:28" s="12" customFormat="1" ht="29.25" customHeight="1">
      <c r="A195" s="26"/>
      <c r="B195" s="2" t="s">
        <v>35</v>
      </c>
      <c r="C195" s="2" t="s">
        <v>34</v>
      </c>
      <c r="D195" s="2" t="s">
        <v>758</v>
      </c>
      <c r="E195" s="2"/>
      <c r="F195" s="2"/>
      <c r="G195" s="2"/>
      <c r="H195" s="2" t="s">
        <v>202</v>
      </c>
      <c r="I195" s="9"/>
      <c r="J195" s="2">
        <v>170</v>
      </c>
      <c r="K195" s="2" t="s">
        <v>760</v>
      </c>
      <c r="L195" s="2"/>
      <c r="M195" s="22" t="s">
        <v>353</v>
      </c>
      <c r="N195" s="22"/>
      <c r="O195" s="2">
        <v>45</v>
      </c>
      <c r="P195" s="2"/>
      <c r="Q195" s="2"/>
      <c r="R195" s="1">
        <v>5</v>
      </c>
      <c r="S195" s="1">
        <v>5</v>
      </c>
      <c r="T195" s="1"/>
      <c r="U195" s="18" t="s">
        <v>13</v>
      </c>
      <c r="V195" s="18">
        <v>12</v>
      </c>
      <c r="W195" s="1"/>
      <c r="X195" s="26"/>
      <c r="Y195" s="22">
        <f>O195*R195</f>
        <v>225</v>
      </c>
      <c r="Z195" s="26"/>
      <c r="AA195" s="20" t="s">
        <v>354</v>
      </c>
      <c r="AB195" s="11"/>
    </row>
    <row r="196" spans="1:28" s="12" customFormat="1" ht="29.25" customHeight="1">
      <c r="A196" s="26"/>
      <c r="B196" s="2" t="s">
        <v>499</v>
      </c>
      <c r="C196" s="2" t="s">
        <v>29</v>
      </c>
      <c r="D196" s="2" t="s">
        <v>757</v>
      </c>
      <c r="E196" s="2"/>
      <c r="F196" s="2"/>
      <c r="G196" s="2"/>
      <c r="H196" s="2" t="s">
        <v>202</v>
      </c>
      <c r="I196" s="9"/>
      <c r="J196" s="2">
        <v>203</v>
      </c>
      <c r="K196" s="2" t="s">
        <v>760</v>
      </c>
      <c r="L196" s="2"/>
      <c r="M196" s="22" t="s">
        <v>353</v>
      </c>
      <c r="N196" s="22"/>
      <c r="O196" s="2">
        <v>55</v>
      </c>
      <c r="P196" s="2"/>
      <c r="Q196" s="2"/>
      <c r="R196" s="1">
        <v>1</v>
      </c>
      <c r="S196" s="1">
        <v>1</v>
      </c>
      <c r="T196" s="1"/>
      <c r="U196" s="18" t="s">
        <v>13</v>
      </c>
      <c r="V196" s="18">
        <v>12</v>
      </c>
      <c r="W196" s="1"/>
      <c r="X196" s="26"/>
      <c r="Y196" s="22">
        <f t="shared" ref="Y196:Y214" si="5">O196*R196</f>
        <v>55</v>
      </c>
      <c r="Z196" s="26"/>
      <c r="AA196" s="20" t="s">
        <v>354</v>
      </c>
      <c r="AB196" s="11"/>
    </row>
    <row r="197" spans="1:28" s="12" customFormat="1" ht="29.25" customHeight="1">
      <c r="A197" s="26"/>
      <c r="B197" s="2" t="s">
        <v>500</v>
      </c>
      <c r="C197" s="2" t="s">
        <v>242</v>
      </c>
      <c r="D197" s="2"/>
      <c r="E197" s="2"/>
      <c r="F197" s="2"/>
      <c r="G197" s="2"/>
      <c r="H197" s="2" t="s">
        <v>202</v>
      </c>
      <c r="I197" s="9"/>
      <c r="J197" s="2">
        <v>447</v>
      </c>
      <c r="K197" s="2" t="s">
        <v>760</v>
      </c>
      <c r="L197" s="2"/>
      <c r="M197" s="22" t="s">
        <v>353</v>
      </c>
      <c r="N197" s="22"/>
      <c r="O197" s="2">
        <v>120</v>
      </c>
      <c r="P197" s="2"/>
      <c r="Q197" s="2"/>
      <c r="R197" s="1">
        <v>1</v>
      </c>
      <c r="S197" s="1">
        <v>1</v>
      </c>
      <c r="T197" s="1"/>
      <c r="U197" s="18" t="s">
        <v>13</v>
      </c>
      <c r="V197" s="18">
        <v>12</v>
      </c>
      <c r="W197" s="1"/>
      <c r="X197" s="26"/>
      <c r="Y197" s="22">
        <f t="shared" si="5"/>
        <v>120</v>
      </c>
      <c r="Z197" s="26"/>
      <c r="AA197" s="20" t="s">
        <v>354</v>
      </c>
      <c r="AB197" s="11"/>
    </row>
    <row r="198" spans="1:28" s="12" customFormat="1" ht="29.25" customHeight="1">
      <c r="A198" s="26"/>
      <c r="B198" s="2" t="s">
        <v>225</v>
      </c>
      <c r="C198" s="2" t="s">
        <v>272</v>
      </c>
      <c r="D198" s="2"/>
      <c r="E198" s="2"/>
      <c r="F198" s="2"/>
      <c r="G198" s="2"/>
      <c r="H198" s="2" t="s">
        <v>202</v>
      </c>
      <c r="I198" s="9"/>
      <c r="J198" s="2">
        <v>87</v>
      </c>
      <c r="K198" s="2" t="s">
        <v>760</v>
      </c>
      <c r="L198" s="2">
        <v>617.55899999999997</v>
      </c>
      <c r="M198" s="22" t="s">
        <v>353</v>
      </c>
      <c r="N198" s="22"/>
      <c r="O198" s="2">
        <v>25</v>
      </c>
      <c r="P198" s="2"/>
      <c r="Q198" s="2"/>
      <c r="R198" s="1">
        <v>1</v>
      </c>
      <c r="S198" s="1">
        <v>1</v>
      </c>
      <c r="T198" s="1"/>
      <c r="U198" s="18" t="s">
        <v>13</v>
      </c>
      <c r="V198" s="18">
        <v>12</v>
      </c>
      <c r="W198" s="1"/>
      <c r="X198" s="26"/>
      <c r="Y198" s="22">
        <f t="shared" si="5"/>
        <v>25</v>
      </c>
      <c r="Z198" s="26"/>
      <c r="AA198" s="20" t="s">
        <v>354</v>
      </c>
      <c r="AB198" s="11" t="s">
        <v>759</v>
      </c>
    </row>
    <row r="199" spans="1:28" s="12" customFormat="1" ht="29.25" customHeight="1">
      <c r="A199" s="26"/>
      <c r="B199" s="2" t="s">
        <v>137</v>
      </c>
      <c r="C199" s="2" t="s">
        <v>57</v>
      </c>
      <c r="D199" s="2"/>
      <c r="E199" s="2"/>
      <c r="F199" s="2"/>
      <c r="G199" s="2"/>
      <c r="H199" s="2" t="s">
        <v>202</v>
      </c>
      <c r="I199" s="9" t="s">
        <v>591</v>
      </c>
      <c r="J199" s="2">
        <v>2560</v>
      </c>
      <c r="K199" s="23" t="s">
        <v>592</v>
      </c>
      <c r="L199" s="2"/>
      <c r="M199" s="22" t="s">
        <v>353</v>
      </c>
      <c r="N199" s="22"/>
      <c r="O199" s="2">
        <v>1300</v>
      </c>
      <c r="P199" s="2"/>
      <c r="Q199" s="2"/>
      <c r="R199" s="1">
        <v>2</v>
      </c>
      <c r="S199" s="1">
        <v>2</v>
      </c>
      <c r="T199" s="1"/>
      <c r="U199" s="18" t="s">
        <v>13</v>
      </c>
      <c r="V199" s="18">
        <v>12</v>
      </c>
      <c r="W199" s="1" t="s">
        <v>365</v>
      </c>
      <c r="X199" s="26"/>
      <c r="Y199" s="22">
        <f t="shared" si="5"/>
        <v>2600</v>
      </c>
      <c r="Z199" s="26"/>
      <c r="AA199" s="20" t="s">
        <v>354</v>
      </c>
      <c r="AB199" s="11"/>
    </row>
    <row r="200" spans="1:28" s="12" customFormat="1" ht="29.25" customHeight="1">
      <c r="A200" s="26"/>
      <c r="B200" s="2" t="s">
        <v>886</v>
      </c>
      <c r="C200" s="2" t="s">
        <v>887</v>
      </c>
      <c r="D200" s="2"/>
      <c r="E200" s="2"/>
      <c r="F200" s="2"/>
      <c r="G200" s="2"/>
      <c r="H200" s="2" t="s">
        <v>202</v>
      </c>
      <c r="I200" s="9" t="s">
        <v>303</v>
      </c>
      <c r="J200" s="2">
        <v>400</v>
      </c>
      <c r="K200" s="2" t="s">
        <v>888</v>
      </c>
      <c r="L200" s="2">
        <v>616.12806999999998</v>
      </c>
      <c r="M200" s="22" t="s">
        <v>353</v>
      </c>
      <c r="N200" s="22"/>
      <c r="O200" s="2">
        <v>120</v>
      </c>
      <c r="P200" s="2"/>
      <c r="Q200" s="2"/>
      <c r="R200" s="1">
        <v>1</v>
      </c>
      <c r="S200" s="1">
        <v>1</v>
      </c>
      <c r="T200" s="1"/>
      <c r="U200" s="18" t="s">
        <v>13</v>
      </c>
      <c r="V200" s="18">
        <v>12</v>
      </c>
      <c r="W200" s="1" t="s">
        <v>364</v>
      </c>
      <c r="X200" s="26"/>
      <c r="Y200" s="22">
        <f t="shared" si="5"/>
        <v>120</v>
      </c>
      <c r="Z200" s="26"/>
      <c r="AA200" s="20" t="s">
        <v>354</v>
      </c>
      <c r="AB200" s="11" t="s">
        <v>889</v>
      </c>
    </row>
    <row r="201" spans="1:28" s="12" customFormat="1" ht="29.25" customHeight="1">
      <c r="A201" s="26"/>
      <c r="B201" s="2" t="s">
        <v>139</v>
      </c>
      <c r="C201" s="2" t="s">
        <v>138</v>
      </c>
      <c r="D201" s="2"/>
      <c r="E201" s="2"/>
      <c r="F201" s="2"/>
      <c r="G201" s="2"/>
      <c r="H201" s="2" t="s">
        <v>202</v>
      </c>
      <c r="I201" s="9"/>
      <c r="J201" s="2">
        <v>588</v>
      </c>
      <c r="K201" s="2" t="s">
        <v>765</v>
      </c>
      <c r="L201" s="2"/>
      <c r="M201" s="22" t="s">
        <v>353</v>
      </c>
      <c r="N201" s="22"/>
      <c r="O201" s="2">
        <v>300</v>
      </c>
      <c r="P201" s="2"/>
      <c r="Q201" s="2"/>
      <c r="R201" s="1">
        <v>1</v>
      </c>
      <c r="S201" s="1">
        <v>1</v>
      </c>
      <c r="T201" s="1"/>
      <c r="U201" s="18" t="s">
        <v>13</v>
      </c>
      <c r="V201" s="18">
        <v>12</v>
      </c>
      <c r="W201" s="1" t="s">
        <v>365</v>
      </c>
      <c r="X201" s="26"/>
      <c r="Y201" s="22">
        <f t="shared" si="5"/>
        <v>300</v>
      </c>
      <c r="Z201" s="26"/>
      <c r="AA201" s="20" t="s">
        <v>354</v>
      </c>
      <c r="AB201" s="11"/>
    </row>
    <row r="202" spans="1:28" s="12" customFormat="1" ht="29.25" customHeight="1">
      <c r="A202" s="26"/>
      <c r="B202" s="2" t="s">
        <v>182</v>
      </c>
      <c r="C202" s="2" t="s">
        <v>183</v>
      </c>
      <c r="D202" s="2"/>
      <c r="E202" s="2"/>
      <c r="F202" s="2"/>
      <c r="G202" s="2"/>
      <c r="H202" s="2" t="s">
        <v>202</v>
      </c>
      <c r="I202" s="9"/>
      <c r="J202" s="2">
        <v>490</v>
      </c>
      <c r="K202" s="2" t="s">
        <v>765</v>
      </c>
      <c r="L202" s="2">
        <v>616.10749999999996</v>
      </c>
      <c r="M202" s="22" t="s">
        <v>353</v>
      </c>
      <c r="N202" s="22"/>
      <c r="O202" s="2">
        <v>250</v>
      </c>
      <c r="P202" s="2"/>
      <c r="Q202" s="2"/>
      <c r="R202" s="13">
        <v>5</v>
      </c>
      <c r="S202" s="13">
        <v>5</v>
      </c>
      <c r="T202" s="13"/>
      <c r="U202" s="18" t="s">
        <v>13</v>
      </c>
      <c r="V202" s="18">
        <v>12</v>
      </c>
      <c r="W202" s="1"/>
      <c r="X202" s="26"/>
      <c r="Y202" s="22">
        <f t="shared" si="5"/>
        <v>1250</v>
      </c>
      <c r="Z202" s="26"/>
      <c r="AA202" s="20" t="s">
        <v>354</v>
      </c>
      <c r="AB202" s="11" t="s">
        <v>756</v>
      </c>
    </row>
    <row r="203" spans="1:28" s="12" customFormat="1" ht="29.25" customHeight="1">
      <c r="A203" s="26"/>
      <c r="B203" s="2" t="s">
        <v>501</v>
      </c>
      <c r="C203" s="2" t="s">
        <v>751</v>
      </c>
      <c r="D203" s="2" t="s">
        <v>325</v>
      </c>
      <c r="E203" s="2"/>
      <c r="F203" s="2"/>
      <c r="G203" s="2"/>
      <c r="H203" s="2" t="s">
        <v>202</v>
      </c>
      <c r="I203" s="9"/>
      <c r="J203" s="2">
        <v>584</v>
      </c>
      <c r="K203" s="2" t="s">
        <v>765</v>
      </c>
      <c r="L203" s="2"/>
      <c r="M203" s="22" t="s">
        <v>353</v>
      </c>
      <c r="N203" s="22"/>
      <c r="O203" s="2">
        <v>150</v>
      </c>
      <c r="P203" s="2"/>
      <c r="Q203" s="2"/>
      <c r="R203" s="1">
        <v>1</v>
      </c>
      <c r="S203" s="1">
        <v>1</v>
      </c>
      <c r="T203" s="1"/>
      <c r="U203" s="18" t="s">
        <v>13</v>
      </c>
      <c r="V203" s="18">
        <v>12</v>
      </c>
      <c r="W203" s="1"/>
      <c r="X203" s="26"/>
      <c r="Y203" s="22">
        <f t="shared" si="5"/>
        <v>150</v>
      </c>
      <c r="Z203" s="26"/>
      <c r="AA203" s="20" t="s">
        <v>354</v>
      </c>
      <c r="AB203" s="11"/>
    </row>
    <row r="204" spans="1:28" s="12" customFormat="1" ht="29.25" customHeight="1">
      <c r="A204" s="26"/>
      <c r="B204" s="2" t="s">
        <v>184</v>
      </c>
      <c r="C204" s="2" t="s">
        <v>126</v>
      </c>
      <c r="D204" s="2" t="s">
        <v>761</v>
      </c>
      <c r="E204" s="2"/>
      <c r="F204" s="2"/>
      <c r="G204" s="2"/>
      <c r="H204" s="2" t="s">
        <v>202</v>
      </c>
      <c r="I204" s="9"/>
      <c r="J204" s="2">
        <v>534</v>
      </c>
      <c r="K204" s="2" t="s">
        <v>765</v>
      </c>
      <c r="L204" s="2"/>
      <c r="M204" s="22" t="s">
        <v>353</v>
      </c>
      <c r="N204" s="22"/>
      <c r="O204" s="2">
        <v>150</v>
      </c>
      <c r="P204" s="2"/>
      <c r="Q204" s="2"/>
      <c r="R204" s="1">
        <v>1</v>
      </c>
      <c r="S204" s="1">
        <v>1</v>
      </c>
      <c r="T204" s="1"/>
      <c r="U204" s="18" t="s">
        <v>13</v>
      </c>
      <c r="V204" s="18">
        <v>12</v>
      </c>
      <c r="W204" s="1" t="s">
        <v>365</v>
      </c>
      <c r="X204" s="26"/>
      <c r="Y204" s="22">
        <f t="shared" si="5"/>
        <v>150</v>
      </c>
      <c r="Z204" s="26"/>
      <c r="AA204" s="20" t="s">
        <v>354</v>
      </c>
      <c r="AB204" s="11"/>
    </row>
    <row r="205" spans="1:28" s="12" customFormat="1" ht="29.25" customHeight="1">
      <c r="A205" s="26"/>
      <c r="B205" s="2" t="s">
        <v>502</v>
      </c>
      <c r="C205" s="2" t="s">
        <v>752</v>
      </c>
      <c r="D205" s="2" t="s">
        <v>102</v>
      </c>
      <c r="E205" s="2"/>
      <c r="F205" s="2"/>
      <c r="G205" s="2"/>
      <c r="H205" s="2" t="s">
        <v>202</v>
      </c>
      <c r="I205" s="9"/>
      <c r="J205" s="2">
        <v>240</v>
      </c>
      <c r="K205" s="2" t="s">
        <v>765</v>
      </c>
      <c r="L205" s="2"/>
      <c r="M205" s="22" t="s">
        <v>353</v>
      </c>
      <c r="N205" s="22"/>
      <c r="O205" s="2">
        <v>120</v>
      </c>
      <c r="P205" s="2"/>
      <c r="Q205" s="2"/>
      <c r="R205" s="1">
        <v>1</v>
      </c>
      <c r="S205" s="1">
        <v>1</v>
      </c>
      <c r="T205" s="1"/>
      <c r="U205" s="18" t="s">
        <v>13</v>
      </c>
      <c r="V205" s="18">
        <v>12</v>
      </c>
      <c r="W205" s="1"/>
      <c r="X205" s="26"/>
      <c r="Y205" s="22">
        <f t="shared" si="5"/>
        <v>120</v>
      </c>
      <c r="Z205" s="26"/>
      <c r="AA205" s="20" t="s">
        <v>354</v>
      </c>
      <c r="AB205" s="11"/>
    </row>
    <row r="206" spans="1:28" s="12" customFormat="1" ht="29.25" customHeight="1">
      <c r="A206" s="26"/>
      <c r="B206" s="2" t="s">
        <v>503</v>
      </c>
      <c r="C206" s="2" t="s">
        <v>195</v>
      </c>
      <c r="D206" s="2"/>
      <c r="E206" s="2"/>
      <c r="F206" s="2"/>
      <c r="G206" s="2"/>
      <c r="H206" s="2" t="s">
        <v>202</v>
      </c>
      <c r="I206" s="9" t="s">
        <v>303</v>
      </c>
      <c r="J206" s="2">
        <v>176</v>
      </c>
      <c r="K206" s="2" t="s">
        <v>765</v>
      </c>
      <c r="L206" s="2">
        <v>612.12</v>
      </c>
      <c r="M206" s="22" t="s">
        <v>353</v>
      </c>
      <c r="N206" s="22"/>
      <c r="O206" s="2">
        <v>85</v>
      </c>
      <c r="P206" s="2"/>
      <c r="Q206" s="2"/>
      <c r="R206" s="1">
        <v>2</v>
      </c>
      <c r="S206" s="1">
        <v>2</v>
      </c>
      <c r="T206" s="1"/>
      <c r="U206" s="18" t="s">
        <v>13</v>
      </c>
      <c r="V206" s="18">
        <v>12</v>
      </c>
      <c r="W206" s="1"/>
      <c r="X206" s="26"/>
      <c r="Y206" s="22">
        <f t="shared" si="5"/>
        <v>170</v>
      </c>
      <c r="Z206" s="26"/>
      <c r="AA206" s="20" t="s">
        <v>354</v>
      </c>
      <c r="AB206" s="11" t="s">
        <v>750</v>
      </c>
    </row>
    <row r="207" spans="1:28" s="12" customFormat="1" ht="29.25" customHeight="1">
      <c r="A207" s="26"/>
      <c r="B207" s="2" t="s">
        <v>297</v>
      </c>
      <c r="C207" s="2" t="s">
        <v>298</v>
      </c>
      <c r="D207" s="2"/>
      <c r="E207" s="2"/>
      <c r="F207" s="2"/>
      <c r="G207" s="2"/>
      <c r="H207" s="2" t="s">
        <v>202</v>
      </c>
      <c r="I207" s="9"/>
      <c r="J207" s="2">
        <v>126</v>
      </c>
      <c r="K207" s="2" t="s">
        <v>765</v>
      </c>
      <c r="L207" s="2"/>
      <c r="M207" s="22" t="s">
        <v>353</v>
      </c>
      <c r="N207" s="22"/>
      <c r="O207" s="2">
        <v>35</v>
      </c>
      <c r="P207" s="2"/>
      <c r="Q207" s="2"/>
      <c r="R207" s="13">
        <v>1</v>
      </c>
      <c r="S207" s="13">
        <v>1</v>
      </c>
      <c r="T207" s="13"/>
      <c r="U207" s="18" t="s">
        <v>13</v>
      </c>
      <c r="V207" s="18">
        <v>12</v>
      </c>
      <c r="W207" s="1"/>
      <c r="X207" s="26"/>
      <c r="Y207" s="22">
        <f t="shared" si="5"/>
        <v>35</v>
      </c>
      <c r="Z207" s="26"/>
      <c r="AA207" s="20" t="s">
        <v>354</v>
      </c>
      <c r="AB207" s="11"/>
    </row>
    <row r="208" spans="1:28" s="12" customFormat="1" ht="29.25" customHeight="1">
      <c r="A208" s="26"/>
      <c r="B208" s="2" t="s">
        <v>333</v>
      </c>
      <c r="C208" s="2" t="s">
        <v>754</v>
      </c>
      <c r="D208" s="2" t="s">
        <v>334</v>
      </c>
      <c r="E208" s="2"/>
      <c r="F208" s="2"/>
      <c r="G208" s="2"/>
      <c r="H208" s="2" t="s">
        <v>202</v>
      </c>
      <c r="I208" s="9"/>
      <c r="J208" s="2">
        <v>272</v>
      </c>
      <c r="K208" s="2" t="s">
        <v>765</v>
      </c>
      <c r="L208" s="2">
        <v>616.12075440000001</v>
      </c>
      <c r="M208" s="22" t="s">
        <v>353</v>
      </c>
      <c r="N208" s="22"/>
      <c r="O208" s="2">
        <v>70</v>
      </c>
      <c r="P208" s="2"/>
      <c r="Q208" s="2"/>
      <c r="R208" s="13">
        <v>1</v>
      </c>
      <c r="S208" s="13">
        <v>1</v>
      </c>
      <c r="T208" s="13"/>
      <c r="U208" s="18" t="s">
        <v>13</v>
      </c>
      <c r="V208" s="18">
        <v>12</v>
      </c>
      <c r="W208" s="1"/>
      <c r="X208" s="26"/>
      <c r="Y208" s="22">
        <f t="shared" si="5"/>
        <v>70</v>
      </c>
      <c r="Z208" s="26"/>
      <c r="AA208" s="20" t="s">
        <v>354</v>
      </c>
      <c r="AB208" s="11" t="s">
        <v>755</v>
      </c>
    </row>
    <row r="209" spans="1:28" s="12" customFormat="1" ht="29.25" customHeight="1">
      <c r="A209" s="26"/>
      <c r="B209" s="2" t="s">
        <v>335</v>
      </c>
      <c r="C209" s="2" t="s">
        <v>336</v>
      </c>
      <c r="D209" s="2"/>
      <c r="E209" s="2"/>
      <c r="F209" s="2"/>
      <c r="G209" s="2"/>
      <c r="H209" s="2" t="s">
        <v>202</v>
      </c>
      <c r="I209" s="9"/>
      <c r="J209" s="2">
        <v>220</v>
      </c>
      <c r="K209" s="2" t="s">
        <v>765</v>
      </c>
      <c r="L209" s="2"/>
      <c r="M209" s="22" t="s">
        <v>353</v>
      </c>
      <c r="N209" s="22"/>
      <c r="O209" s="2">
        <v>60</v>
      </c>
      <c r="P209" s="2"/>
      <c r="Q209" s="2"/>
      <c r="R209" s="13">
        <v>1</v>
      </c>
      <c r="S209" s="13">
        <v>1</v>
      </c>
      <c r="T209" s="13"/>
      <c r="U209" s="18" t="s">
        <v>13</v>
      </c>
      <c r="V209" s="18">
        <v>12</v>
      </c>
      <c r="W209" s="1"/>
      <c r="X209" s="26"/>
      <c r="Y209" s="22">
        <f t="shared" si="5"/>
        <v>60</v>
      </c>
      <c r="Z209" s="26"/>
      <c r="AA209" s="20" t="s">
        <v>354</v>
      </c>
      <c r="AB209" s="11" t="s">
        <v>753</v>
      </c>
    </row>
    <row r="210" spans="1:28" s="12" customFormat="1" ht="29.25" customHeight="1">
      <c r="A210" s="26"/>
      <c r="B210" s="2" t="s">
        <v>149</v>
      </c>
      <c r="C210" s="2" t="s">
        <v>273</v>
      </c>
      <c r="D210" s="2"/>
      <c r="E210" s="2"/>
      <c r="F210" s="2"/>
      <c r="G210" s="2"/>
      <c r="H210" s="2" t="s">
        <v>202</v>
      </c>
      <c r="I210" s="9"/>
      <c r="J210" s="2">
        <v>104</v>
      </c>
      <c r="K210" s="2"/>
      <c r="L210" s="2">
        <v>616.12300000000005</v>
      </c>
      <c r="M210" s="22" t="s">
        <v>353</v>
      </c>
      <c r="N210" s="22"/>
      <c r="O210" s="2">
        <v>30</v>
      </c>
      <c r="P210" s="2"/>
      <c r="Q210" s="2"/>
      <c r="R210" s="1">
        <v>5</v>
      </c>
      <c r="S210" s="1">
        <v>5</v>
      </c>
      <c r="T210" s="1"/>
      <c r="U210" s="18" t="s">
        <v>13</v>
      </c>
      <c r="V210" s="18">
        <v>13</v>
      </c>
      <c r="W210" s="1"/>
      <c r="X210" s="26"/>
      <c r="Y210" s="22">
        <f t="shared" si="5"/>
        <v>150</v>
      </c>
      <c r="Z210" s="26"/>
      <c r="AA210" s="20" t="s">
        <v>354</v>
      </c>
      <c r="AB210" s="11" t="s">
        <v>796</v>
      </c>
    </row>
    <row r="211" spans="1:28" s="12" customFormat="1" ht="29.25" customHeight="1">
      <c r="A211" s="26"/>
      <c r="B211" s="2" t="s">
        <v>504</v>
      </c>
      <c r="C211" s="2" t="s">
        <v>78</v>
      </c>
      <c r="D211" s="2"/>
      <c r="E211" s="2"/>
      <c r="F211" s="2"/>
      <c r="G211" s="2"/>
      <c r="H211" s="2" t="s">
        <v>202</v>
      </c>
      <c r="I211" s="9" t="s">
        <v>303</v>
      </c>
      <c r="J211" s="2">
        <v>226</v>
      </c>
      <c r="K211" s="2" t="s">
        <v>775</v>
      </c>
      <c r="L211" s="2"/>
      <c r="M211" s="22" t="s">
        <v>353</v>
      </c>
      <c r="N211" s="22"/>
      <c r="O211" s="2">
        <v>115</v>
      </c>
      <c r="P211" s="2"/>
      <c r="Q211" s="2"/>
      <c r="R211" s="1">
        <v>1</v>
      </c>
      <c r="S211" s="1">
        <v>1</v>
      </c>
      <c r="T211" s="1"/>
      <c r="U211" s="18" t="s">
        <v>13</v>
      </c>
      <c r="V211" s="18">
        <v>13</v>
      </c>
      <c r="W211" s="1" t="s">
        <v>364</v>
      </c>
      <c r="X211" s="26"/>
      <c r="Y211" s="22">
        <f t="shared" si="5"/>
        <v>115</v>
      </c>
      <c r="Z211" s="26"/>
      <c r="AA211" s="20" t="s">
        <v>354</v>
      </c>
      <c r="AB211" s="11"/>
    </row>
    <row r="212" spans="1:28" s="12" customFormat="1" ht="29.25" customHeight="1">
      <c r="A212" s="26"/>
      <c r="B212" s="2" t="s">
        <v>505</v>
      </c>
      <c r="C212" s="2" t="s">
        <v>224</v>
      </c>
      <c r="D212" s="2"/>
      <c r="E212" s="2"/>
      <c r="F212" s="2"/>
      <c r="G212" s="2"/>
      <c r="H212" s="2" t="s">
        <v>202</v>
      </c>
      <c r="I212" s="9" t="s">
        <v>303</v>
      </c>
      <c r="J212" s="2">
        <v>94</v>
      </c>
      <c r="K212" s="2" t="s">
        <v>775</v>
      </c>
      <c r="L212" s="2"/>
      <c r="M212" s="22" t="s">
        <v>353</v>
      </c>
      <c r="N212" s="22"/>
      <c r="O212" s="2">
        <v>30</v>
      </c>
      <c r="P212" s="2"/>
      <c r="Q212" s="2"/>
      <c r="R212" s="1">
        <v>1</v>
      </c>
      <c r="S212" s="1">
        <v>1</v>
      </c>
      <c r="T212" s="1"/>
      <c r="U212" s="18" t="s">
        <v>13</v>
      </c>
      <c r="V212" s="18">
        <v>13</v>
      </c>
      <c r="W212" s="1" t="s">
        <v>364</v>
      </c>
      <c r="X212" s="26"/>
      <c r="Y212" s="22">
        <f t="shared" si="5"/>
        <v>30</v>
      </c>
      <c r="Z212" s="26"/>
      <c r="AA212" s="20" t="s">
        <v>354</v>
      </c>
      <c r="AB212" s="11"/>
    </row>
    <row r="213" spans="1:28" s="12" customFormat="1" ht="29.25" customHeight="1">
      <c r="A213" s="26"/>
      <c r="B213" s="2" t="s">
        <v>506</v>
      </c>
      <c r="C213" s="2" t="s">
        <v>274</v>
      </c>
      <c r="D213" s="2" t="s">
        <v>792</v>
      </c>
      <c r="E213" s="2"/>
      <c r="F213" s="2"/>
      <c r="G213" s="2"/>
      <c r="H213" s="2" t="s">
        <v>202</v>
      </c>
      <c r="I213" s="9" t="s">
        <v>303</v>
      </c>
      <c r="J213" s="2">
        <v>96</v>
      </c>
      <c r="K213" s="2"/>
      <c r="L213" s="2">
        <v>610.73676999999998</v>
      </c>
      <c r="M213" s="22" t="s">
        <v>353</v>
      </c>
      <c r="N213" s="22"/>
      <c r="O213" s="2">
        <v>25</v>
      </c>
      <c r="P213" s="2"/>
      <c r="Q213" s="2"/>
      <c r="R213" s="1">
        <v>1</v>
      </c>
      <c r="S213" s="1">
        <v>1</v>
      </c>
      <c r="T213" s="1"/>
      <c r="U213" s="18" t="s">
        <v>13</v>
      </c>
      <c r="V213" s="18">
        <v>13</v>
      </c>
      <c r="W213" s="1" t="s">
        <v>364</v>
      </c>
      <c r="X213" s="26"/>
      <c r="Y213" s="22">
        <f t="shared" si="5"/>
        <v>25</v>
      </c>
      <c r="Z213" s="26"/>
      <c r="AA213" s="20" t="s">
        <v>354</v>
      </c>
      <c r="AB213" s="11" t="s">
        <v>793</v>
      </c>
    </row>
    <row r="214" spans="1:28" s="12" customFormat="1" ht="29.25" customHeight="1">
      <c r="A214" s="26"/>
      <c r="B214" s="2" t="s">
        <v>52</v>
      </c>
      <c r="C214" s="2" t="s">
        <v>51</v>
      </c>
      <c r="D214" s="2" t="s">
        <v>804</v>
      </c>
      <c r="E214" s="2"/>
      <c r="F214" s="2"/>
      <c r="G214" s="2"/>
      <c r="H214" s="2" t="s">
        <v>202</v>
      </c>
      <c r="I214" s="9" t="s">
        <v>303</v>
      </c>
      <c r="J214" s="2">
        <v>644</v>
      </c>
      <c r="K214" s="2" t="s">
        <v>926</v>
      </c>
      <c r="L214" s="2"/>
      <c r="M214" s="22" t="s">
        <v>353</v>
      </c>
      <c r="N214" s="22"/>
      <c r="O214" s="2">
        <v>165</v>
      </c>
      <c r="P214" s="2"/>
      <c r="Q214" s="2"/>
      <c r="R214" s="1">
        <v>1</v>
      </c>
      <c r="S214" s="1">
        <v>1</v>
      </c>
      <c r="T214" s="1"/>
      <c r="U214" s="18" t="s">
        <v>13</v>
      </c>
      <c r="V214" s="18">
        <v>13</v>
      </c>
      <c r="W214" s="1" t="s">
        <v>364</v>
      </c>
      <c r="X214" s="26"/>
      <c r="Y214" s="22">
        <f t="shared" si="5"/>
        <v>165</v>
      </c>
      <c r="Z214" s="26"/>
      <c r="AA214" s="20" t="s">
        <v>354</v>
      </c>
      <c r="AB214" s="11"/>
    </row>
    <row r="215" spans="1:28" s="12" customFormat="1" ht="29.25" customHeight="1">
      <c r="A215" s="26"/>
      <c r="B215" s="2" t="s">
        <v>884</v>
      </c>
      <c r="C215" s="2" t="s">
        <v>885</v>
      </c>
      <c r="D215" s="2"/>
      <c r="E215" s="2"/>
      <c r="F215" s="2"/>
      <c r="G215" s="2"/>
      <c r="H215" s="2" t="s">
        <v>202</v>
      </c>
      <c r="I215" s="9" t="s">
        <v>303</v>
      </c>
      <c r="J215" s="2">
        <v>265</v>
      </c>
      <c r="K215" s="2" t="s">
        <v>775</v>
      </c>
      <c r="L215" s="2"/>
      <c r="M215" s="22" t="s">
        <v>353</v>
      </c>
      <c r="N215" s="22"/>
      <c r="O215" s="2">
        <v>70</v>
      </c>
      <c r="P215" s="2"/>
      <c r="Q215" s="2"/>
      <c r="R215" s="1">
        <v>1</v>
      </c>
      <c r="S215" s="1">
        <v>1</v>
      </c>
      <c r="T215" s="1"/>
      <c r="U215" s="18" t="s">
        <v>13</v>
      </c>
      <c r="V215" s="18">
        <v>13</v>
      </c>
      <c r="W215" s="1" t="s">
        <v>364</v>
      </c>
      <c r="X215" s="26"/>
      <c r="Y215" s="22">
        <v>70</v>
      </c>
      <c r="Z215" s="26"/>
      <c r="AA215" s="20"/>
      <c r="AB215" s="11"/>
    </row>
    <row r="216" spans="1:28" s="12" customFormat="1" ht="29.25" customHeight="1">
      <c r="A216" s="26"/>
      <c r="B216" s="2" t="s">
        <v>227</v>
      </c>
      <c r="C216" s="2" t="s">
        <v>228</v>
      </c>
      <c r="D216" s="2" t="s">
        <v>392</v>
      </c>
      <c r="E216" s="2"/>
      <c r="F216" s="2"/>
      <c r="G216" s="2"/>
      <c r="H216" s="2" t="s">
        <v>202</v>
      </c>
      <c r="I216" s="9" t="s">
        <v>303</v>
      </c>
      <c r="J216" s="2">
        <v>128</v>
      </c>
      <c r="K216" s="2"/>
      <c r="L216" s="2"/>
      <c r="M216" s="22" t="s">
        <v>353</v>
      </c>
      <c r="N216" s="22"/>
      <c r="O216" s="2">
        <v>35</v>
      </c>
      <c r="P216" s="2"/>
      <c r="Q216" s="2"/>
      <c r="R216" s="1">
        <v>1</v>
      </c>
      <c r="S216" s="1">
        <v>1</v>
      </c>
      <c r="T216" s="1"/>
      <c r="U216" s="18" t="s">
        <v>13</v>
      </c>
      <c r="V216" s="18">
        <v>13</v>
      </c>
      <c r="W216" s="1" t="s">
        <v>364</v>
      </c>
      <c r="X216" s="26"/>
      <c r="Y216" s="22">
        <f>O216*R216</f>
        <v>35</v>
      </c>
      <c r="Z216" s="26"/>
      <c r="AA216" s="20" t="s">
        <v>354</v>
      </c>
      <c r="AB216" s="11"/>
    </row>
    <row r="217" spans="1:28" s="12" customFormat="1" ht="29.25" customHeight="1">
      <c r="A217" s="26"/>
      <c r="B217" s="2" t="s">
        <v>507</v>
      </c>
      <c r="C217" s="2" t="s">
        <v>87</v>
      </c>
      <c r="D217" s="2" t="s">
        <v>815</v>
      </c>
      <c r="E217" s="2"/>
      <c r="F217" s="2"/>
      <c r="G217" s="2"/>
      <c r="H217" s="2" t="s">
        <v>202</v>
      </c>
      <c r="I217" s="9" t="s">
        <v>303</v>
      </c>
      <c r="J217" s="2">
        <v>487</v>
      </c>
      <c r="K217" s="2"/>
      <c r="L217" s="2"/>
      <c r="M217" s="22" t="s">
        <v>353</v>
      </c>
      <c r="N217" s="22"/>
      <c r="O217" s="2">
        <v>130</v>
      </c>
      <c r="P217" s="2"/>
      <c r="Q217" s="2"/>
      <c r="R217" s="1">
        <v>1</v>
      </c>
      <c r="S217" s="1">
        <v>1</v>
      </c>
      <c r="T217" s="1"/>
      <c r="U217" s="18" t="s">
        <v>13</v>
      </c>
      <c r="V217" s="18">
        <v>13</v>
      </c>
      <c r="W217" s="1" t="s">
        <v>364</v>
      </c>
      <c r="X217" s="26"/>
      <c r="Y217" s="22">
        <f>O217*R217</f>
        <v>130</v>
      </c>
      <c r="Z217" s="26"/>
      <c r="AA217" s="20" t="s">
        <v>354</v>
      </c>
      <c r="AB217" s="11"/>
    </row>
    <row r="218" spans="1:28" s="12" customFormat="1" ht="29.25" customHeight="1">
      <c r="A218" s="26"/>
      <c r="B218" s="2" t="s">
        <v>508</v>
      </c>
      <c r="C218" s="2" t="s">
        <v>62</v>
      </c>
      <c r="D218" s="2" t="s">
        <v>770</v>
      </c>
      <c r="E218" s="2"/>
      <c r="F218" s="2"/>
      <c r="G218" s="2"/>
      <c r="H218" s="2" t="s">
        <v>202</v>
      </c>
      <c r="I218" s="9" t="s">
        <v>303</v>
      </c>
      <c r="J218" s="2">
        <v>391</v>
      </c>
      <c r="K218" s="2" t="s">
        <v>771</v>
      </c>
      <c r="L218" s="2"/>
      <c r="M218" s="22" t="s">
        <v>353</v>
      </c>
      <c r="N218" s="22"/>
      <c r="O218" s="2">
        <v>55</v>
      </c>
      <c r="P218" s="2"/>
      <c r="Q218" s="2"/>
      <c r="R218" s="1">
        <v>1</v>
      </c>
      <c r="S218" s="1">
        <v>1</v>
      </c>
      <c r="T218" s="1"/>
      <c r="U218" s="18" t="s">
        <v>13</v>
      </c>
      <c r="V218" s="18">
        <v>13</v>
      </c>
      <c r="W218" s="1" t="s">
        <v>364</v>
      </c>
      <c r="X218" s="26"/>
      <c r="Y218" s="22">
        <f>O218*R218</f>
        <v>55</v>
      </c>
      <c r="Z218" s="26"/>
      <c r="AA218" s="20" t="s">
        <v>354</v>
      </c>
      <c r="AB218" s="11" t="s">
        <v>772</v>
      </c>
    </row>
    <row r="219" spans="1:28" s="12" customFormat="1" ht="29.25" customHeight="1">
      <c r="A219" s="26"/>
      <c r="B219" s="2" t="s">
        <v>275</v>
      </c>
      <c r="C219" s="2" t="s">
        <v>229</v>
      </c>
      <c r="D219" s="2"/>
      <c r="E219" s="2"/>
      <c r="F219" s="2"/>
      <c r="G219" s="2"/>
      <c r="H219" s="2" t="s">
        <v>202</v>
      </c>
      <c r="I219" s="9"/>
      <c r="J219" s="2">
        <v>68</v>
      </c>
      <c r="K219" s="2"/>
      <c r="L219" s="2"/>
      <c r="M219" s="22" t="s">
        <v>353</v>
      </c>
      <c r="N219" s="22"/>
      <c r="O219" s="2">
        <v>40</v>
      </c>
      <c r="P219" s="2"/>
      <c r="Q219" s="2"/>
      <c r="R219" s="1">
        <v>1</v>
      </c>
      <c r="S219" s="1">
        <v>1</v>
      </c>
      <c r="T219" s="1"/>
      <c r="U219" s="18" t="s">
        <v>13</v>
      </c>
      <c r="V219" s="18">
        <v>13</v>
      </c>
      <c r="W219" s="1"/>
      <c r="X219" s="26"/>
      <c r="Y219" s="22">
        <f>O219*R219</f>
        <v>40</v>
      </c>
      <c r="Z219" s="26"/>
      <c r="AA219" s="20" t="s">
        <v>354</v>
      </c>
      <c r="AB219" s="11"/>
    </row>
    <row r="220" spans="1:28" s="12" customFormat="1" ht="29.25" customHeight="1">
      <c r="A220" s="26"/>
      <c r="B220" s="2" t="s">
        <v>53</v>
      </c>
      <c r="C220" s="2" t="s">
        <v>189</v>
      </c>
      <c r="D220" s="2"/>
      <c r="E220" s="2"/>
      <c r="F220" s="2"/>
      <c r="G220" s="2"/>
      <c r="H220" s="2" t="s">
        <v>202</v>
      </c>
      <c r="I220" s="9" t="s">
        <v>303</v>
      </c>
      <c r="J220" s="2">
        <v>168</v>
      </c>
      <c r="K220" s="2" t="s">
        <v>776</v>
      </c>
      <c r="L220" s="2"/>
      <c r="M220" s="22" t="s">
        <v>353</v>
      </c>
      <c r="N220" s="22"/>
      <c r="O220" s="2">
        <v>45</v>
      </c>
      <c r="P220" s="2"/>
      <c r="Q220" s="2"/>
      <c r="R220" s="1">
        <v>1</v>
      </c>
      <c r="S220" s="1">
        <v>1</v>
      </c>
      <c r="T220" s="1"/>
      <c r="U220" s="18" t="s">
        <v>13</v>
      </c>
      <c r="V220" s="18">
        <v>13</v>
      </c>
      <c r="W220" s="1" t="s">
        <v>364</v>
      </c>
      <c r="X220" s="26"/>
      <c r="Y220" s="22">
        <f>O220*R220</f>
        <v>45</v>
      </c>
      <c r="Z220" s="26"/>
      <c r="AA220" s="20" t="s">
        <v>354</v>
      </c>
      <c r="AB220" s="11"/>
    </row>
    <row r="221" spans="1:28" s="12" customFormat="1" ht="29.25" customHeight="1">
      <c r="A221" s="26"/>
      <c r="B221" s="2" t="s">
        <v>220</v>
      </c>
      <c r="C221" s="3" t="s">
        <v>221</v>
      </c>
      <c r="D221" s="3"/>
      <c r="E221" s="3"/>
      <c r="F221" s="3"/>
      <c r="G221" s="3"/>
      <c r="H221" s="2" t="s">
        <v>202</v>
      </c>
      <c r="I221" s="10"/>
      <c r="J221" s="3">
        <v>262</v>
      </c>
      <c r="K221" s="3"/>
      <c r="L221" s="3"/>
      <c r="M221" s="22" t="s">
        <v>353</v>
      </c>
      <c r="N221" s="22"/>
      <c r="O221" s="3">
        <v>70</v>
      </c>
      <c r="P221" s="3"/>
      <c r="Q221" s="3"/>
      <c r="R221" s="1">
        <v>1</v>
      </c>
      <c r="S221" s="1">
        <v>1</v>
      </c>
      <c r="T221" s="1"/>
      <c r="U221" s="18" t="s">
        <v>13</v>
      </c>
      <c r="V221" s="18">
        <v>13</v>
      </c>
      <c r="W221" s="1"/>
      <c r="X221" s="26"/>
      <c r="Y221" s="22">
        <f>O221*R221</f>
        <v>70</v>
      </c>
      <c r="Z221" s="26"/>
      <c r="AA221" s="20" t="s">
        <v>354</v>
      </c>
      <c r="AB221" s="11"/>
    </row>
    <row r="222" spans="1:28" s="12" customFormat="1" ht="29.25" customHeight="1">
      <c r="A222" s="26"/>
      <c r="B222" s="2" t="s">
        <v>509</v>
      </c>
      <c r="C222" s="2" t="s">
        <v>217</v>
      </c>
      <c r="D222" s="2"/>
      <c r="E222" s="2"/>
      <c r="F222" s="2"/>
      <c r="G222" s="2"/>
      <c r="H222" s="2" t="s">
        <v>202</v>
      </c>
      <c r="I222" s="9"/>
      <c r="J222" s="2">
        <v>471</v>
      </c>
      <c r="K222" s="2"/>
      <c r="L222" s="2"/>
      <c r="M222" s="22" t="s">
        <v>353</v>
      </c>
      <c r="N222" s="22"/>
      <c r="O222" s="2">
        <v>120</v>
      </c>
      <c r="P222" s="2"/>
      <c r="Q222" s="2"/>
      <c r="R222" s="1">
        <v>1</v>
      </c>
      <c r="S222" s="1">
        <v>1</v>
      </c>
      <c r="T222" s="1"/>
      <c r="U222" s="18" t="s">
        <v>13</v>
      </c>
      <c r="V222" s="18">
        <v>13</v>
      </c>
      <c r="W222" s="1"/>
      <c r="X222" s="26"/>
      <c r="Y222" s="22">
        <f>O222*R222</f>
        <v>120</v>
      </c>
      <c r="Z222" s="26"/>
      <c r="AA222" s="20" t="s">
        <v>354</v>
      </c>
      <c r="AB222" s="11"/>
    </row>
    <row r="223" spans="1:28" s="12" customFormat="1" ht="29.25" customHeight="1">
      <c r="A223" s="26"/>
      <c r="B223" s="2" t="s">
        <v>321</v>
      </c>
      <c r="C223" s="2" t="s">
        <v>322</v>
      </c>
      <c r="D223" s="2"/>
      <c r="E223" s="2"/>
      <c r="F223" s="2"/>
      <c r="G223" s="2"/>
      <c r="H223" s="2" t="s">
        <v>202</v>
      </c>
      <c r="I223" s="9"/>
      <c r="J223" s="2">
        <v>198</v>
      </c>
      <c r="K223" s="2"/>
      <c r="L223" s="2"/>
      <c r="M223" s="22" t="s">
        <v>353</v>
      </c>
      <c r="N223" s="22"/>
      <c r="O223" s="2">
        <v>100</v>
      </c>
      <c r="P223" s="2"/>
      <c r="Q223" s="2"/>
      <c r="R223" s="1">
        <v>1</v>
      </c>
      <c r="S223" s="1">
        <v>1</v>
      </c>
      <c r="T223" s="1"/>
      <c r="U223" s="18" t="s">
        <v>13</v>
      </c>
      <c r="V223" s="18">
        <v>13</v>
      </c>
      <c r="W223" s="1"/>
      <c r="X223" s="26"/>
      <c r="Y223" s="22">
        <f>O223*R223</f>
        <v>100</v>
      </c>
      <c r="Z223" s="26"/>
      <c r="AA223" s="20" t="s">
        <v>354</v>
      </c>
      <c r="AB223" s="11"/>
    </row>
    <row r="224" spans="1:28" s="12" customFormat="1" ht="29.25" customHeight="1">
      <c r="A224" s="26"/>
      <c r="B224" s="2" t="s">
        <v>326</v>
      </c>
      <c r="C224" s="2" t="s">
        <v>327</v>
      </c>
      <c r="D224" s="2"/>
      <c r="E224" s="2"/>
      <c r="F224" s="2"/>
      <c r="G224" s="2"/>
      <c r="H224" s="2" t="s">
        <v>202</v>
      </c>
      <c r="I224" s="9"/>
      <c r="J224" s="2">
        <v>452</v>
      </c>
      <c r="K224" s="2"/>
      <c r="L224" s="2">
        <v>616.12075470000002</v>
      </c>
      <c r="M224" s="22" t="s">
        <v>353</v>
      </c>
      <c r="N224" s="22"/>
      <c r="O224" s="2">
        <v>120</v>
      </c>
      <c r="P224" s="2"/>
      <c r="Q224" s="2"/>
      <c r="R224" s="1">
        <v>1</v>
      </c>
      <c r="S224" s="1">
        <v>1</v>
      </c>
      <c r="T224" s="1"/>
      <c r="U224" s="18" t="s">
        <v>13</v>
      </c>
      <c r="V224" s="18">
        <v>13</v>
      </c>
      <c r="W224" s="1"/>
      <c r="X224" s="26"/>
      <c r="Y224" s="22">
        <f>O224*R224</f>
        <v>120</v>
      </c>
      <c r="Z224" s="26"/>
      <c r="AA224" s="20" t="s">
        <v>354</v>
      </c>
      <c r="AB224" s="11" t="s">
        <v>794</v>
      </c>
    </row>
    <row r="225" spans="1:28" s="12" customFormat="1" ht="29.25" customHeight="1">
      <c r="A225" s="26"/>
      <c r="B225" s="2" t="s">
        <v>330</v>
      </c>
      <c r="C225" s="2" t="s">
        <v>327</v>
      </c>
      <c r="D225" s="2"/>
      <c r="E225" s="2"/>
      <c r="F225" s="2"/>
      <c r="G225" s="2"/>
      <c r="H225" s="2" t="s">
        <v>202</v>
      </c>
      <c r="I225" s="9"/>
      <c r="J225" s="2">
        <v>204</v>
      </c>
      <c r="K225" s="2"/>
      <c r="L225" s="2">
        <v>616.12800000000004</v>
      </c>
      <c r="M225" s="22" t="s">
        <v>353</v>
      </c>
      <c r="N225" s="22"/>
      <c r="O225" s="2">
        <v>55</v>
      </c>
      <c r="P225" s="2"/>
      <c r="Q225" s="2"/>
      <c r="R225" s="1">
        <v>1</v>
      </c>
      <c r="S225" s="1">
        <v>1</v>
      </c>
      <c r="T225" s="1"/>
      <c r="U225" s="18" t="s">
        <v>13</v>
      </c>
      <c r="V225" s="18">
        <v>13</v>
      </c>
      <c r="W225" s="1"/>
      <c r="X225" s="26"/>
      <c r="Y225" s="22">
        <f>O225*R225</f>
        <v>55</v>
      </c>
      <c r="Z225" s="26"/>
      <c r="AA225" s="20" t="s">
        <v>354</v>
      </c>
      <c r="AB225" s="11" t="s">
        <v>806</v>
      </c>
    </row>
    <row r="226" spans="1:28" s="12" customFormat="1" ht="29.25" customHeight="1">
      <c r="A226" s="26"/>
      <c r="B226" s="2" t="s">
        <v>328</v>
      </c>
      <c r="C226" s="2" t="s">
        <v>329</v>
      </c>
      <c r="D226" s="2"/>
      <c r="E226" s="2"/>
      <c r="F226" s="2"/>
      <c r="G226" s="2"/>
      <c r="H226" s="2" t="s">
        <v>202</v>
      </c>
      <c r="I226" s="9"/>
      <c r="J226" s="2">
        <v>386</v>
      </c>
      <c r="K226" s="2"/>
      <c r="L226" s="2">
        <v>616.12800000000004</v>
      </c>
      <c r="M226" s="22" t="s">
        <v>353</v>
      </c>
      <c r="N226" s="22"/>
      <c r="O226" s="2">
        <v>100</v>
      </c>
      <c r="P226" s="2"/>
      <c r="Q226" s="2"/>
      <c r="R226" s="1">
        <v>1</v>
      </c>
      <c r="S226" s="1">
        <v>1</v>
      </c>
      <c r="T226" s="1"/>
      <c r="U226" s="18" t="s">
        <v>13</v>
      </c>
      <c r="V226" s="18">
        <v>13</v>
      </c>
      <c r="W226" s="1"/>
      <c r="X226" s="26"/>
      <c r="Y226" s="22">
        <f>O226*R226</f>
        <v>100</v>
      </c>
      <c r="Z226" s="26"/>
      <c r="AA226" s="20" t="s">
        <v>354</v>
      </c>
      <c r="AB226" s="11" t="s">
        <v>803</v>
      </c>
    </row>
    <row r="227" spans="1:28" s="12" customFormat="1" ht="29.25" customHeight="1">
      <c r="A227" s="26"/>
      <c r="B227" s="2" t="s">
        <v>160</v>
      </c>
      <c r="C227" s="2" t="s">
        <v>161</v>
      </c>
      <c r="D227" s="2"/>
      <c r="E227" s="2"/>
      <c r="F227" s="2"/>
      <c r="G227" s="2"/>
      <c r="H227" s="2" t="s">
        <v>202</v>
      </c>
      <c r="I227" s="9"/>
      <c r="J227" s="2">
        <v>62</v>
      </c>
      <c r="K227" s="2"/>
      <c r="L227" s="2"/>
      <c r="M227" s="22" t="s">
        <v>353</v>
      </c>
      <c r="N227" s="22"/>
      <c r="O227" s="2">
        <v>20</v>
      </c>
      <c r="P227" s="2"/>
      <c r="Q227" s="2"/>
      <c r="R227" s="1">
        <v>5</v>
      </c>
      <c r="S227" s="1">
        <v>5</v>
      </c>
      <c r="T227" s="1"/>
      <c r="U227" s="18" t="s">
        <v>13</v>
      </c>
      <c r="V227" s="18">
        <v>13</v>
      </c>
      <c r="W227" s="1"/>
      <c r="X227" s="26"/>
      <c r="Y227" s="22">
        <f>O227*R227</f>
        <v>100</v>
      </c>
      <c r="Z227" s="26"/>
      <c r="AA227" s="20" t="s">
        <v>354</v>
      </c>
      <c r="AB227" s="11" t="s">
        <v>801</v>
      </c>
    </row>
    <row r="228" spans="1:28" s="12" customFormat="1" ht="29.25" customHeight="1">
      <c r="A228" s="26"/>
      <c r="B228" s="2" t="s">
        <v>119</v>
      </c>
      <c r="C228" s="2" t="s">
        <v>118</v>
      </c>
      <c r="D228" s="2" t="s">
        <v>779</v>
      </c>
      <c r="E228" s="2"/>
      <c r="F228" s="2"/>
      <c r="G228" s="2"/>
      <c r="H228" s="2" t="s">
        <v>202</v>
      </c>
      <c r="I228" s="9" t="s">
        <v>303</v>
      </c>
      <c r="J228" s="2">
        <v>51</v>
      </c>
      <c r="K228" s="2" t="s">
        <v>780</v>
      </c>
      <c r="L228" s="2"/>
      <c r="M228" s="22" t="s">
        <v>353</v>
      </c>
      <c r="N228" s="22"/>
      <c r="O228" s="2">
        <v>25</v>
      </c>
      <c r="P228" s="2"/>
      <c r="Q228" s="2"/>
      <c r="R228" s="1">
        <v>1</v>
      </c>
      <c r="S228" s="1">
        <v>1</v>
      </c>
      <c r="T228" s="1"/>
      <c r="U228" s="18" t="s">
        <v>13</v>
      </c>
      <c r="V228" s="18">
        <v>13</v>
      </c>
      <c r="W228" s="1" t="s">
        <v>364</v>
      </c>
      <c r="X228" s="26"/>
      <c r="Y228" s="22">
        <f>O228*R228</f>
        <v>25</v>
      </c>
      <c r="Z228" s="26"/>
      <c r="AA228" s="20" t="s">
        <v>354</v>
      </c>
      <c r="AB228" s="11"/>
    </row>
    <row r="229" spans="1:28" s="12" customFormat="1" ht="29.25" customHeight="1">
      <c r="A229" s="26"/>
      <c r="B229" s="2" t="s">
        <v>510</v>
      </c>
      <c r="C229" s="2" t="s">
        <v>161</v>
      </c>
      <c r="D229" s="2"/>
      <c r="E229" s="2"/>
      <c r="F229" s="2"/>
      <c r="G229" s="2"/>
      <c r="H229" s="2" t="s">
        <v>202</v>
      </c>
      <c r="I229" s="9" t="s">
        <v>303</v>
      </c>
      <c r="J229" s="2">
        <v>56</v>
      </c>
      <c r="K229" s="2"/>
      <c r="L229" s="2"/>
      <c r="M229" s="22" t="s">
        <v>353</v>
      </c>
      <c r="N229" s="22"/>
      <c r="O229" s="2">
        <v>20</v>
      </c>
      <c r="P229" s="2"/>
      <c r="Q229" s="2"/>
      <c r="R229" s="1">
        <v>5</v>
      </c>
      <c r="S229" s="1">
        <v>5</v>
      </c>
      <c r="T229" s="1"/>
      <c r="U229" s="18" t="s">
        <v>13</v>
      </c>
      <c r="V229" s="18">
        <v>13</v>
      </c>
      <c r="W229" s="1"/>
      <c r="X229" s="26"/>
      <c r="Y229" s="22">
        <f>O229*R229</f>
        <v>100</v>
      </c>
      <c r="Z229" s="26"/>
      <c r="AA229" s="20" t="s">
        <v>354</v>
      </c>
      <c r="AB229" s="11" t="s">
        <v>788</v>
      </c>
    </row>
    <row r="230" spans="1:28" s="12" customFormat="1" ht="29.25" customHeight="1">
      <c r="A230" s="26"/>
      <c r="B230" s="2" t="s">
        <v>511</v>
      </c>
      <c r="C230" s="2" t="s">
        <v>134</v>
      </c>
      <c r="D230" s="2"/>
      <c r="E230" s="2"/>
      <c r="F230" s="2"/>
      <c r="G230" s="2"/>
      <c r="H230" s="2" t="s">
        <v>202</v>
      </c>
      <c r="I230" s="9" t="s">
        <v>303</v>
      </c>
      <c r="J230" s="2">
        <v>70</v>
      </c>
      <c r="K230" s="2" t="s">
        <v>780</v>
      </c>
      <c r="L230" s="2"/>
      <c r="M230" s="22" t="s">
        <v>353</v>
      </c>
      <c r="N230" s="22"/>
      <c r="O230" s="2">
        <v>20</v>
      </c>
      <c r="P230" s="2"/>
      <c r="Q230" s="2"/>
      <c r="R230" s="1">
        <v>5</v>
      </c>
      <c r="S230" s="1">
        <v>5</v>
      </c>
      <c r="T230" s="1"/>
      <c r="U230" s="18" t="s">
        <v>13</v>
      </c>
      <c r="V230" s="18">
        <v>13</v>
      </c>
      <c r="W230" s="1" t="s">
        <v>364</v>
      </c>
      <c r="X230" s="26"/>
      <c r="Y230" s="22">
        <f>O230*R230</f>
        <v>100</v>
      </c>
      <c r="Z230" s="26"/>
      <c r="AA230" s="20" t="s">
        <v>354</v>
      </c>
      <c r="AB230" s="11"/>
    </row>
    <row r="231" spans="1:28" s="12" customFormat="1" ht="29.25" customHeight="1">
      <c r="A231" s="26"/>
      <c r="B231" s="2" t="s">
        <v>276</v>
      </c>
      <c r="C231" s="2" t="s">
        <v>277</v>
      </c>
      <c r="D231" s="2" t="s">
        <v>777</v>
      </c>
      <c r="E231" s="2"/>
      <c r="F231" s="2"/>
      <c r="G231" s="2"/>
      <c r="H231" s="2" t="s">
        <v>202</v>
      </c>
      <c r="I231" s="9" t="s">
        <v>303</v>
      </c>
      <c r="J231" s="2">
        <v>50</v>
      </c>
      <c r="K231" s="2" t="s">
        <v>775</v>
      </c>
      <c r="L231" s="2"/>
      <c r="M231" s="22" t="s">
        <v>353</v>
      </c>
      <c r="N231" s="22"/>
      <c r="O231" s="2">
        <v>30</v>
      </c>
      <c r="P231" s="2"/>
      <c r="Q231" s="2"/>
      <c r="R231" s="1">
        <v>1</v>
      </c>
      <c r="S231" s="1">
        <v>1</v>
      </c>
      <c r="T231" s="1"/>
      <c r="U231" s="18" t="s">
        <v>13</v>
      </c>
      <c r="V231" s="18">
        <v>13</v>
      </c>
      <c r="W231" s="1" t="s">
        <v>364</v>
      </c>
      <c r="X231" s="26"/>
      <c r="Y231" s="22">
        <f>O231*R231</f>
        <v>30</v>
      </c>
      <c r="Z231" s="26"/>
      <c r="AA231" s="20" t="s">
        <v>354</v>
      </c>
      <c r="AB231" s="11"/>
    </row>
    <row r="232" spans="1:28" s="12" customFormat="1" ht="29.25" customHeight="1">
      <c r="A232" s="26"/>
      <c r="B232" s="2" t="s">
        <v>925</v>
      </c>
      <c r="C232" s="2" t="s">
        <v>278</v>
      </c>
      <c r="D232" s="2"/>
      <c r="E232" s="2"/>
      <c r="F232" s="2"/>
      <c r="G232" s="2"/>
      <c r="H232" s="2" t="s">
        <v>202</v>
      </c>
      <c r="I232" s="9" t="s">
        <v>303</v>
      </c>
      <c r="J232" s="2">
        <v>160</v>
      </c>
      <c r="K232" s="2"/>
      <c r="L232" s="2">
        <v>616.69000000000005</v>
      </c>
      <c r="M232" s="22" t="s">
        <v>353</v>
      </c>
      <c r="N232" s="22"/>
      <c r="O232" s="2">
        <v>45</v>
      </c>
      <c r="P232" s="2"/>
      <c r="Q232" s="2"/>
      <c r="R232" s="1">
        <v>1</v>
      </c>
      <c r="S232" s="1">
        <v>1</v>
      </c>
      <c r="T232" s="1"/>
      <c r="U232" s="18" t="s">
        <v>13</v>
      </c>
      <c r="V232" s="18">
        <v>13</v>
      </c>
      <c r="W232" s="1"/>
      <c r="X232" s="26"/>
      <c r="Y232" s="22">
        <f>O232*R232</f>
        <v>45</v>
      </c>
      <c r="Z232" s="26"/>
      <c r="AA232" s="20" t="s">
        <v>354</v>
      </c>
      <c r="AB232" s="11" t="s">
        <v>800</v>
      </c>
    </row>
    <row r="233" spans="1:28" s="12" customFormat="1" ht="29.25" customHeight="1">
      <c r="A233" s="26"/>
      <c r="B233" s="2" t="s">
        <v>337</v>
      </c>
      <c r="C233" s="2" t="s">
        <v>338</v>
      </c>
      <c r="D233" s="2" t="s">
        <v>813</v>
      </c>
      <c r="E233" s="2"/>
      <c r="F233" s="2"/>
      <c r="G233" s="2"/>
      <c r="H233" s="2" t="s">
        <v>202</v>
      </c>
      <c r="I233" s="9" t="s">
        <v>303</v>
      </c>
      <c r="J233" s="2">
        <v>250</v>
      </c>
      <c r="K233" s="2"/>
      <c r="L233" s="2">
        <v>616.85829999999999</v>
      </c>
      <c r="M233" s="22" t="s">
        <v>353</v>
      </c>
      <c r="N233" s="22"/>
      <c r="O233" s="2">
        <v>65</v>
      </c>
      <c r="P233" s="2"/>
      <c r="Q233" s="2"/>
      <c r="R233" s="1">
        <v>1</v>
      </c>
      <c r="S233" s="1">
        <v>1</v>
      </c>
      <c r="T233" s="1"/>
      <c r="U233" s="18" t="s">
        <v>13</v>
      </c>
      <c r="V233" s="18">
        <v>13</v>
      </c>
      <c r="W233" s="1"/>
      <c r="X233" s="26"/>
      <c r="Y233" s="22">
        <f>O233*R233</f>
        <v>65</v>
      </c>
      <c r="Z233" s="26"/>
      <c r="AA233" s="20" t="s">
        <v>354</v>
      </c>
      <c r="AB233" s="11" t="s">
        <v>814</v>
      </c>
    </row>
    <row r="234" spans="1:28" s="12" customFormat="1" ht="29.25" customHeight="1">
      <c r="A234" s="26"/>
      <c r="B234" s="2" t="s">
        <v>279</v>
      </c>
      <c r="C234" s="2" t="s">
        <v>99</v>
      </c>
      <c r="D234" s="2"/>
      <c r="E234" s="2"/>
      <c r="F234" s="2"/>
      <c r="G234" s="2"/>
      <c r="H234" s="2" t="s">
        <v>202</v>
      </c>
      <c r="I234" s="9" t="s">
        <v>303</v>
      </c>
      <c r="J234" s="2">
        <v>268</v>
      </c>
      <c r="K234" s="2"/>
      <c r="L234" s="2"/>
      <c r="M234" s="22" t="s">
        <v>353</v>
      </c>
      <c r="N234" s="22"/>
      <c r="O234" s="2">
        <v>140</v>
      </c>
      <c r="P234" s="2"/>
      <c r="Q234" s="2"/>
      <c r="R234" s="1">
        <v>1</v>
      </c>
      <c r="S234" s="1">
        <v>1</v>
      </c>
      <c r="T234" s="1"/>
      <c r="U234" s="18" t="s">
        <v>13</v>
      </c>
      <c r="V234" s="18">
        <v>13</v>
      </c>
      <c r="W234" s="1"/>
      <c r="X234" s="26"/>
      <c r="Y234" s="22">
        <f>O234*R234</f>
        <v>140</v>
      </c>
      <c r="Z234" s="26"/>
      <c r="AA234" s="20" t="s">
        <v>354</v>
      </c>
      <c r="AB234" s="11"/>
    </row>
    <row r="235" spans="1:28" s="12" customFormat="1" ht="29.25" customHeight="1">
      <c r="A235" s="26"/>
      <c r="B235" s="2" t="s">
        <v>512</v>
      </c>
      <c r="C235" s="2" t="s">
        <v>277</v>
      </c>
      <c r="D235" s="2" t="s">
        <v>781</v>
      </c>
      <c r="E235" s="2"/>
      <c r="F235" s="2"/>
      <c r="G235" s="2"/>
      <c r="H235" s="2" t="s">
        <v>202</v>
      </c>
      <c r="I235" s="9" t="s">
        <v>303</v>
      </c>
      <c r="J235" s="2">
        <v>337</v>
      </c>
      <c r="K235" s="2" t="s">
        <v>775</v>
      </c>
      <c r="L235" s="2"/>
      <c r="M235" s="22" t="s">
        <v>353</v>
      </c>
      <c r="N235" s="22"/>
      <c r="O235" s="2">
        <v>80</v>
      </c>
      <c r="P235" s="2"/>
      <c r="Q235" s="2"/>
      <c r="R235" s="1">
        <v>1</v>
      </c>
      <c r="S235" s="1">
        <v>1</v>
      </c>
      <c r="T235" s="1"/>
      <c r="U235" s="18" t="s">
        <v>13</v>
      </c>
      <c r="V235" s="18">
        <v>13</v>
      </c>
      <c r="W235" s="1" t="s">
        <v>364</v>
      </c>
      <c r="X235" s="26"/>
      <c r="Y235" s="22">
        <f>O235*R235</f>
        <v>80</v>
      </c>
      <c r="Z235" s="26"/>
      <c r="AA235" s="20" t="s">
        <v>354</v>
      </c>
      <c r="AB235" s="11"/>
    </row>
    <row r="236" spans="1:28" s="12" customFormat="1" ht="29.25" customHeight="1">
      <c r="A236" s="26"/>
      <c r="B236" s="2" t="s">
        <v>295</v>
      </c>
      <c r="C236" s="2" t="s">
        <v>296</v>
      </c>
      <c r="D236" s="2" t="s">
        <v>802</v>
      </c>
      <c r="E236" s="2"/>
      <c r="F236" s="2"/>
      <c r="G236" s="2"/>
      <c r="H236" s="2" t="s">
        <v>202</v>
      </c>
      <c r="I236" s="9" t="s">
        <v>303</v>
      </c>
      <c r="J236" s="2">
        <v>609</v>
      </c>
      <c r="K236" s="2"/>
      <c r="L236" s="2">
        <v>616.73</v>
      </c>
      <c r="M236" s="22" t="s">
        <v>353</v>
      </c>
      <c r="N236" s="22"/>
      <c r="O236" s="2">
        <v>160</v>
      </c>
      <c r="P236" s="2"/>
      <c r="Q236" s="2"/>
      <c r="R236" s="1">
        <v>1</v>
      </c>
      <c r="S236" s="1">
        <v>1</v>
      </c>
      <c r="T236" s="1"/>
      <c r="U236" s="18" t="s">
        <v>13</v>
      </c>
      <c r="V236" s="18">
        <v>13</v>
      </c>
      <c r="W236" s="1"/>
      <c r="X236" s="26"/>
      <c r="Y236" s="22">
        <f>O236*R236</f>
        <v>160</v>
      </c>
      <c r="Z236" s="26"/>
      <c r="AA236" s="20" t="s">
        <v>354</v>
      </c>
      <c r="AB236" s="11"/>
    </row>
    <row r="237" spans="1:28" s="12" customFormat="1" ht="29.25" customHeight="1">
      <c r="A237" s="26"/>
      <c r="B237" s="2" t="s">
        <v>331</v>
      </c>
      <c r="C237" s="2" t="s">
        <v>332</v>
      </c>
      <c r="D237" s="2"/>
      <c r="E237" s="2"/>
      <c r="F237" s="2"/>
      <c r="G237" s="2"/>
      <c r="H237" s="2" t="s">
        <v>202</v>
      </c>
      <c r="I237" s="9" t="s">
        <v>303</v>
      </c>
      <c r="J237" s="2">
        <v>284</v>
      </c>
      <c r="K237" s="2" t="s">
        <v>774</v>
      </c>
      <c r="L237" s="2"/>
      <c r="M237" s="22" t="s">
        <v>353</v>
      </c>
      <c r="N237" s="22"/>
      <c r="O237" s="2">
        <v>150</v>
      </c>
      <c r="P237" s="2"/>
      <c r="Q237" s="2"/>
      <c r="R237" s="1">
        <v>1</v>
      </c>
      <c r="S237" s="1">
        <v>1</v>
      </c>
      <c r="T237" s="1"/>
      <c r="U237" s="18" t="s">
        <v>13</v>
      </c>
      <c r="V237" s="18">
        <v>13</v>
      </c>
      <c r="W237" s="1" t="s">
        <v>365</v>
      </c>
      <c r="X237" s="26"/>
      <c r="Y237" s="22">
        <f>O237*R237</f>
        <v>150</v>
      </c>
      <c r="Z237" s="26"/>
      <c r="AA237" s="20" t="s">
        <v>354</v>
      </c>
      <c r="AB237" s="11"/>
    </row>
    <row r="238" spans="1:28" s="12" customFormat="1" ht="29.25" customHeight="1">
      <c r="A238" s="26"/>
      <c r="B238" s="2" t="s">
        <v>513</v>
      </c>
      <c r="C238" s="2" t="s">
        <v>30</v>
      </c>
      <c r="D238" s="2"/>
      <c r="E238" s="2"/>
      <c r="F238" s="2"/>
      <c r="G238" s="2"/>
      <c r="H238" s="2" t="s">
        <v>202</v>
      </c>
      <c r="I238" s="9" t="s">
        <v>303</v>
      </c>
      <c r="J238" s="2">
        <v>158</v>
      </c>
      <c r="K238" s="2"/>
      <c r="L238" s="2"/>
      <c r="M238" s="22" t="s">
        <v>353</v>
      </c>
      <c r="N238" s="22"/>
      <c r="O238" s="2">
        <v>45</v>
      </c>
      <c r="P238" s="2"/>
      <c r="Q238" s="2"/>
      <c r="R238" s="1">
        <v>1</v>
      </c>
      <c r="S238" s="1">
        <v>1</v>
      </c>
      <c r="T238" s="1"/>
      <c r="U238" s="18" t="s">
        <v>13</v>
      </c>
      <c r="V238" s="18">
        <v>13</v>
      </c>
      <c r="W238" s="1"/>
      <c r="X238" s="26"/>
      <c r="Y238" s="22">
        <f>O238*R238</f>
        <v>45</v>
      </c>
      <c r="Z238" s="26"/>
      <c r="AA238" s="20" t="s">
        <v>354</v>
      </c>
      <c r="AB238" s="11"/>
    </row>
    <row r="239" spans="1:28" s="12" customFormat="1" ht="29.25" customHeight="1">
      <c r="A239" s="26"/>
      <c r="B239" s="2" t="s">
        <v>207</v>
      </c>
      <c r="C239" s="2" t="s">
        <v>178</v>
      </c>
      <c r="D239" s="2"/>
      <c r="E239" s="2"/>
      <c r="F239" s="2"/>
      <c r="G239" s="2"/>
      <c r="H239" s="2" t="s">
        <v>202</v>
      </c>
      <c r="I239" s="9" t="s">
        <v>303</v>
      </c>
      <c r="J239" s="2">
        <v>266</v>
      </c>
      <c r="K239" s="2"/>
      <c r="L239" s="2"/>
      <c r="M239" s="22" t="s">
        <v>353</v>
      </c>
      <c r="N239" s="22"/>
      <c r="O239" s="2">
        <v>80</v>
      </c>
      <c r="P239" s="2"/>
      <c r="Q239" s="2"/>
      <c r="R239" s="13">
        <v>2</v>
      </c>
      <c r="S239" s="13">
        <v>2</v>
      </c>
      <c r="T239" s="13"/>
      <c r="U239" s="18" t="s">
        <v>13</v>
      </c>
      <c r="V239" s="18">
        <v>13</v>
      </c>
      <c r="W239" s="1" t="s">
        <v>365</v>
      </c>
      <c r="X239" s="26"/>
      <c r="Y239" s="22">
        <f>O239*R239</f>
        <v>160</v>
      </c>
      <c r="Z239" s="26"/>
      <c r="AA239" s="20" t="s">
        <v>354</v>
      </c>
      <c r="AB239" s="11"/>
    </row>
    <row r="240" spans="1:28" s="12" customFormat="1" ht="29.25" customHeight="1">
      <c r="A240" s="26"/>
      <c r="B240" s="2" t="s">
        <v>68</v>
      </c>
      <c r="C240" s="2" t="s">
        <v>67</v>
      </c>
      <c r="D240" s="2"/>
      <c r="E240" s="2"/>
      <c r="F240" s="2"/>
      <c r="G240" s="2"/>
      <c r="H240" s="2" t="s">
        <v>202</v>
      </c>
      <c r="I240" s="9" t="s">
        <v>303</v>
      </c>
      <c r="J240" s="2">
        <v>109</v>
      </c>
      <c r="K240" s="2"/>
      <c r="L240" s="2"/>
      <c r="M240" s="22" t="s">
        <v>353</v>
      </c>
      <c r="N240" s="22"/>
      <c r="O240" s="2">
        <v>60</v>
      </c>
      <c r="P240" s="2"/>
      <c r="Q240" s="2"/>
      <c r="R240" s="1">
        <v>1</v>
      </c>
      <c r="S240" s="1">
        <v>1</v>
      </c>
      <c r="T240" s="1"/>
      <c r="U240" s="18" t="s">
        <v>13</v>
      </c>
      <c r="V240" s="18">
        <v>13</v>
      </c>
      <c r="W240" s="1"/>
      <c r="X240" s="26"/>
      <c r="Y240" s="22">
        <f>O240*R240</f>
        <v>60</v>
      </c>
      <c r="Z240" s="26"/>
      <c r="AA240" s="20" t="s">
        <v>354</v>
      </c>
      <c r="AB240" s="11"/>
    </row>
    <row r="241" spans="1:28" s="12" customFormat="1" ht="29.25" customHeight="1">
      <c r="A241" s="26"/>
      <c r="B241" s="2" t="s">
        <v>514</v>
      </c>
      <c r="C241" s="2" t="s">
        <v>82</v>
      </c>
      <c r="D241" s="2"/>
      <c r="E241" s="2"/>
      <c r="F241" s="2"/>
      <c r="G241" s="2"/>
      <c r="H241" s="2" t="s">
        <v>202</v>
      </c>
      <c r="I241" s="9" t="s">
        <v>303</v>
      </c>
      <c r="J241" s="2">
        <v>300</v>
      </c>
      <c r="K241" s="2" t="s">
        <v>778</v>
      </c>
      <c r="L241" s="2"/>
      <c r="M241" s="22" t="s">
        <v>353</v>
      </c>
      <c r="N241" s="22"/>
      <c r="O241" s="2">
        <v>80</v>
      </c>
      <c r="P241" s="2"/>
      <c r="Q241" s="2"/>
      <c r="R241" s="1">
        <v>1</v>
      </c>
      <c r="S241" s="1">
        <v>1</v>
      </c>
      <c r="T241" s="1"/>
      <c r="U241" s="18" t="s">
        <v>13</v>
      </c>
      <c r="V241" s="18">
        <v>13</v>
      </c>
      <c r="W241" s="1" t="s">
        <v>364</v>
      </c>
      <c r="X241" s="26"/>
      <c r="Y241" s="22">
        <f>O241*R241</f>
        <v>80</v>
      </c>
      <c r="Z241" s="26"/>
      <c r="AA241" s="20" t="s">
        <v>354</v>
      </c>
      <c r="AB241" s="11"/>
    </row>
    <row r="242" spans="1:28" s="12" customFormat="1" ht="29.25" customHeight="1">
      <c r="A242" s="26"/>
      <c r="B242" s="2" t="s">
        <v>231</v>
      </c>
      <c r="C242" s="2" t="s">
        <v>67</v>
      </c>
      <c r="D242" s="2"/>
      <c r="E242" s="2"/>
      <c r="F242" s="2"/>
      <c r="G242" s="2"/>
      <c r="H242" s="2" t="s">
        <v>202</v>
      </c>
      <c r="I242" s="9" t="s">
        <v>303</v>
      </c>
      <c r="J242" s="2">
        <v>113</v>
      </c>
      <c r="K242" s="2"/>
      <c r="L242" s="2"/>
      <c r="M242" s="22" t="s">
        <v>353</v>
      </c>
      <c r="N242" s="22"/>
      <c r="O242" s="2">
        <v>30</v>
      </c>
      <c r="P242" s="2"/>
      <c r="Q242" s="2"/>
      <c r="R242" s="1">
        <v>1</v>
      </c>
      <c r="S242" s="1">
        <v>1</v>
      </c>
      <c r="T242" s="1"/>
      <c r="U242" s="18" t="s">
        <v>13</v>
      </c>
      <c r="V242" s="18">
        <v>13</v>
      </c>
      <c r="W242" s="1"/>
      <c r="X242" s="26"/>
      <c r="Y242" s="22">
        <f>O242*R242</f>
        <v>30</v>
      </c>
      <c r="Z242" s="26"/>
      <c r="AA242" s="20" t="s">
        <v>354</v>
      </c>
      <c r="AB242" s="11"/>
    </row>
    <row r="243" spans="1:28" s="12" customFormat="1" ht="29.25" customHeight="1">
      <c r="A243" s="26"/>
      <c r="B243" s="2" t="s">
        <v>50</v>
      </c>
      <c r="C243" s="2" t="s">
        <v>49</v>
      </c>
      <c r="D243" s="2"/>
      <c r="E243" s="2"/>
      <c r="F243" s="2"/>
      <c r="G243" s="2"/>
      <c r="H243" s="2" t="s">
        <v>202</v>
      </c>
      <c r="I243" s="9" t="s">
        <v>303</v>
      </c>
      <c r="J243" s="2">
        <v>297</v>
      </c>
      <c r="K243" s="2" t="s">
        <v>773</v>
      </c>
      <c r="L243" s="2"/>
      <c r="M243" s="22" t="s">
        <v>353</v>
      </c>
      <c r="N243" s="22"/>
      <c r="O243" s="2">
        <v>55</v>
      </c>
      <c r="P243" s="2"/>
      <c r="Q243" s="2"/>
      <c r="R243" s="1">
        <v>1</v>
      </c>
      <c r="S243" s="1">
        <v>1</v>
      </c>
      <c r="T243" s="1"/>
      <c r="U243" s="18" t="s">
        <v>13</v>
      </c>
      <c r="V243" s="18">
        <v>13</v>
      </c>
      <c r="W243" s="1" t="s">
        <v>364</v>
      </c>
      <c r="X243" s="26"/>
      <c r="Y243" s="22">
        <f>O243*R243</f>
        <v>55</v>
      </c>
      <c r="Z243" s="26"/>
      <c r="AA243" s="20" t="s">
        <v>354</v>
      </c>
      <c r="AB243" s="11"/>
    </row>
    <row r="244" spans="1:28" s="12" customFormat="1" ht="29.25" customHeight="1">
      <c r="A244" s="26"/>
      <c r="B244" s="24" t="s">
        <v>890</v>
      </c>
      <c r="C244" s="2" t="s">
        <v>316</v>
      </c>
      <c r="D244" s="2"/>
      <c r="E244" s="2"/>
      <c r="F244" s="2"/>
      <c r="G244" s="2"/>
      <c r="H244" s="2" t="s">
        <v>202</v>
      </c>
      <c r="I244" s="9" t="s">
        <v>303</v>
      </c>
      <c r="J244" s="2">
        <v>1140</v>
      </c>
      <c r="K244" s="2" t="s">
        <v>775</v>
      </c>
      <c r="L244" s="2"/>
      <c r="M244" s="22" t="s">
        <v>353</v>
      </c>
      <c r="N244" s="22"/>
      <c r="O244" s="2">
        <v>30</v>
      </c>
      <c r="P244" s="2"/>
      <c r="Q244" s="2"/>
      <c r="R244" s="1">
        <v>1</v>
      </c>
      <c r="S244" s="1">
        <v>1</v>
      </c>
      <c r="T244" s="1"/>
      <c r="U244" s="18" t="s">
        <v>13</v>
      </c>
      <c r="V244" s="18">
        <v>13</v>
      </c>
      <c r="W244" s="1" t="s">
        <v>364</v>
      </c>
      <c r="X244" s="26"/>
      <c r="Y244" s="22">
        <v>30</v>
      </c>
      <c r="Z244" s="26"/>
      <c r="AA244" s="20"/>
      <c r="AB244" s="11"/>
    </row>
    <row r="245" spans="1:28" s="12" customFormat="1" ht="29.25" customHeight="1">
      <c r="A245" s="26"/>
      <c r="B245" s="2" t="s">
        <v>515</v>
      </c>
      <c r="C245" s="2" t="s">
        <v>161</v>
      </c>
      <c r="D245" s="2"/>
      <c r="E245" s="2"/>
      <c r="F245" s="2"/>
      <c r="G245" s="2"/>
      <c r="H245" s="2" t="s">
        <v>202</v>
      </c>
      <c r="I245" s="9" t="s">
        <v>303</v>
      </c>
      <c r="J245" s="2">
        <v>65</v>
      </c>
      <c r="K245" s="2"/>
      <c r="L245" s="2"/>
      <c r="M245" s="22" t="s">
        <v>353</v>
      </c>
      <c r="N245" s="22"/>
      <c r="O245" s="2">
        <v>20</v>
      </c>
      <c r="P245" s="2"/>
      <c r="Q245" s="2"/>
      <c r="R245" s="1">
        <v>4</v>
      </c>
      <c r="S245" s="1">
        <v>4</v>
      </c>
      <c r="T245" s="1"/>
      <c r="U245" s="18" t="s">
        <v>13</v>
      </c>
      <c r="V245" s="18">
        <v>13</v>
      </c>
      <c r="W245" s="1"/>
      <c r="X245" s="26"/>
      <c r="Y245" s="22">
        <f>O245*R245</f>
        <v>80</v>
      </c>
      <c r="Z245" s="26"/>
      <c r="AA245" s="20" t="s">
        <v>354</v>
      </c>
      <c r="AB245" s="11" t="s">
        <v>789</v>
      </c>
    </row>
    <row r="246" spans="1:28" s="12" customFormat="1" ht="29.25" customHeight="1">
      <c r="A246" s="26"/>
      <c r="B246" s="2" t="s">
        <v>516</v>
      </c>
      <c r="C246" s="2" t="s">
        <v>226</v>
      </c>
      <c r="D246" s="2"/>
      <c r="E246" s="2"/>
      <c r="F246" s="2"/>
      <c r="G246" s="2"/>
      <c r="H246" s="2" t="s">
        <v>202</v>
      </c>
      <c r="I246" s="9" t="s">
        <v>303</v>
      </c>
      <c r="J246" s="2">
        <v>56</v>
      </c>
      <c r="K246" s="2" t="s">
        <v>786</v>
      </c>
      <c r="L246" s="2"/>
      <c r="M246" s="22" t="s">
        <v>353</v>
      </c>
      <c r="N246" s="22"/>
      <c r="O246" s="2">
        <v>20</v>
      </c>
      <c r="P246" s="2"/>
      <c r="Q246" s="2"/>
      <c r="R246" s="1">
        <v>5</v>
      </c>
      <c r="S246" s="1">
        <v>5</v>
      </c>
      <c r="T246" s="1"/>
      <c r="U246" s="18" t="s">
        <v>13</v>
      </c>
      <c r="V246" s="18">
        <v>13</v>
      </c>
      <c r="W246" s="1"/>
      <c r="X246" s="26"/>
      <c r="Y246" s="22">
        <f>O246*R246</f>
        <v>100</v>
      </c>
      <c r="Z246" s="26"/>
      <c r="AA246" s="20" t="s">
        <v>354</v>
      </c>
      <c r="AB246" s="11" t="s">
        <v>787</v>
      </c>
    </row>
    <row r="247" spans="1:28" s="12" customFormat="1" ht="29.25" customHeight="1">
      <c r="A247" s="26"/>
      <c r="B247" s="2" t="s">
        <v>517</v>
      </c>
      <c r="C247" s="2" t="s">
        <v>161</v>
      </c>
      <c r="D247" s="2"/>
      <c r="E247" s="2"/>
      <c r="F247" s="2"/>
      <c r="G247" s="2"/>
      <c r="H247" s="2" t="s">
        <v>202</v>
      </c>
      <c r="I247" s="9" t="s">
        <v>303</v>
      </c>
      <c r="J247" s="2">
        <v>48</v>
      </c>
      <c r="K247" s="2"/>
      <c r="L247" s="2">
        <v>616.39970000000005</v>
      </c>
      <c r="M247" s="22" t="s">
        <v>353</v>
      </c>
      <c r="N247" s="22"/>
      <c r="O247" s="2">
        <v>15</v>
      </c>
      <c r="P247" s="2"/>
      <c r="Q247" s="2"/>
      <c r="R247" s="1">
        <v>5</v>
      </c>
      <c r="S247" s="1">
        <v>5</v>
      </c>
      <c r="T247" s="1"/>
      <c r="U247" s="18" t="s">
        <v>13</v>
      </c>
      <c r="V247" s="18">
        <v>13</v>
      </c>
      <c r="W247" s="1"/>
      <c r="X247" s="26"/>
      <c r="Y247" s="22">
        <f>O247*R247</f>
        <v>75</v>
      </c>
      <c r="Z247" s="26"/>
      <c r="AA247" s="20" t="s">
        <v>354</v>
      </c>
      <c r="AB247" s="11" t="s">
        <v>810</v>
      </c>
    </row>
    <row r="248" spans="1:28" s="12" customFormat="1" ht="29.25" customHeight="1">
      <c r="A248" s="26"/>
      <c r="B248" s="2" t="s">
        <v>280</v>
      </c>
      <c r="C248" s="2" t="s">
        <v>110</v>
      </c>
      <c r="D248" s="2"/>
      <c r="E248" s="2"/>
      <c r="F248" s="2"/>
      <c r="G248" s="2"/>
      <c r="H248" s="2" t="s">
        <v>202</v>
      </c>
      <c r="I248" s="9" t="s">
        <v>303</v>
      </c>
      <c r="J248" s="2">
        <v>52</v>
      </c>
      <c r="K248" s="2"/>
      <c r="L248" s="2">
        <v>613</v>
      </c>
      <c r="M248" s="22" t="s">
        <v>353</v>
      </c>
      <c r="N248" s="22"/>
      <c r="O248" s="2">
        <v>15</v>
      </c>
      <c r="P248" s="2"/>
      <c r="Q248" s="2"/>
      <c r="R248" s="1">
        <v>1</v>
      </c>
      <c r="S248" s="1">
        <v>1</v>
      </c>
      <c r="T248" s="1"/>
      <c r="U248" s="18" t="s">
        <v>13</v>
      </c>
      <c r="V248" s="18">
        <v>13</v>
      </c>
      <c r="W248" s="1"/>
      <c r="X248" s="26"/>
      <c r="Y248" s="22">
        <f>O248*R248</f>
        <v>15</v>
      </c>
      <c r="Z248" s="26"/>
      <c r="AA248" s="20" t="s">
        <v>354</v>
      </c>
      <c r="AB248" s="11" t="s">
        <v>811</v>
      </c>
    </row>
    <row r="249" spans="1:28" s="12" customFormat="1" ht="29.25" customHeight="1">
      <c r="A249" s="26"/>
      <c r="B249" s="2" t="s">
        <v>518</v>
      </c>
      <c r="C249" s="2" t="s">
        <v>105</v>
      </c>
      <c r="D249" s="2"/>
      <c r="E249" s="2"/>
      <c r="F249" s="2"/>
      <c r="G249" s="2"/>
      <c r="H249" s="2" t="s">
        <v>202</v>
      </c>
      <c r="I249" s="9" t="s">
        <v>303</v>
      </c>
      <c r="J249" s="2">
        <v>104</v>
      </c>
      <c r="K249" s="2"/>
      <c r="L249" s="2">
        <v>616.12065399999994</v>
      </c>
      <c r="M249" s="22" t="s">
        <v>353</v>
      </c>
      <c r="N249" s="22"/>
      <c r="O249" s="2">
        <v>30</v>
      </c>
      <c r="P249" s="2"/>
      <c r="Q249" s="2"/>
      <c r="R249" s="13">
        <v>4</v>
      </c>
      <c r="S249" s="13">
        <v>4</v>
      </c>
      <c r="T249" s="13"/>
      <c r="U249" s="18" t="s">
        <v>13</v>
      </c>
      <c r="V249" s="18">
        <v>13</v>
      </c>
      <c r="W249" s="1"/>
      <c r="X249" s="26"/>
      <c r="Y249" s="22">
        <f>O249*R249</f>
        <v>120</v>
      </c>
      <c r="Z249" s="26"/>
      <c r="AA249" s="20" t="s">
        <v>354</v>
      </c>
      <c r="AB249" s="11" t="s">
        <v>795</v>
      </c>
    </row>
    <row r="250" spans="1:28" s="12" customFormat="1" ht="29.25" customHeight="1">
      <c r="A250" s="26"/>
      <c r="B250" s="2" t="s">
        <v>519</v>
      </c>
      <c r="C250" s="2" t="s">
        <v>127</v>
      </c>
      <c r="D250" s="2"/>
      <c r="E250" s="2"/>
      <c r="F250" s="2"/>
      <c r="G250" s="2"/>
      <c r="H250" s="2" t="s">
        <v>202</v>
      </c>
      <c r="I250" s="9" t="s">
        <v>303</v>
      </c>
      <c r="J250" s="2">
        <v>185</v>
      </c>
      <c r="K250" s="2"/>
      <c r="L250" s="2"/>
      <c r="M250" s="22" t="s">
        <v>353</v>
      </c>
      <c r="N250" s="22"/>
      <c r="O250" s="2">
        <v>100</v>
      </c>
      <c r="P250" s="2"/>
      <c r="Q250" s="2"/>
      <c r="R250" s="1">
        <v>1</v>
      </c>
      <c r="S250" s="1">
        <v>1</v>
      </c>
      <c r="T250" s="1"/>
      <c r="U250" s="18" t="s">
        <v>13</v>
      </c>
      <c r="V250" s="18">
        <v>13</v>
      </c>
      <c r="W250" s="1"/>
      <c r="X250" s="26"/>
      <c r="Y250" s="22">
        <f>O250*R250</f>
        <v>100</v>
      </c>
      <c r="Z250" s="26"/>
      <c r="AA250" s="20" t="s">
        <v>354</v>
      </c>
      <c r="AB250" s="11"/>
    </row>
    <row r="251" spans="1:28" s="12" customFormat="1" ht="29.25" customHeight="1">
      <c r="A251" s="26"/>
      <c r="B251" s="2" t="s">
        <v>114</v>
      </c>
      <c r="C251" s="2" t="s">
        <v>113</v>
      </c>
      <c r="D251" s="2" t="s">
        <v>113</v>
      </c>
      <c r="E251" s="2"/>
      <c r="F251" s="2"/>
      <c r="G251" s="2"/>
      <c r="H251" s="2" t="s">
        <v>202</v>
      </c>
      <c r="I251" s="9" t="s">
        <v>303</v>
      </c>
      <c r="J251" s="2">
        <v>218</v>
      </c>
      <c r="K251" s="2" t="s">
        <v>782</v>
      </c>
      <c r="L251" s="2">
        <v>616.15</v>
      </c>
      <c r="M251" s="22" t="s">
        <v>353</v>
      </c>
      <c r="N251" s="22"/>
      <c r="O251" s="2">
        <v>60</v>
      </c>
      <c r="P251" s="2"/>
      <c r="Q251" s="2"/>
      <c r="R251" s="1">
        <v>1</v>
      </c>
      <c r="S251" s="1">
        <v>1</v>
      </c>
      <c r="T251" s="1"/>
      <c r="U251" s="18" t="s">
        <v>13</v>
      </c>
      <c r="V251" s="18">
        <v>13</v>
      </c>
      <c r="W251" s="1" t="s">
        <v>364</v>
      </c>
      <c r="X251" s="26"/>
      <c r="Y251" s="22">
        <f>O251*R251</f>
        <v>60</v>
      </c>
      <c r="Z251" s="26"/>
      <c r="AA251" s="20" t="s">
        <v>354</v>
      </c>
      <c r="AB251" s="11" t="s">
        <v>783</v>
      </c>
    </row>
    <row r="252" spans="1:28" s="12" customFormat="1" ht="29.25" customHeight="1">
      <c r="A252" s="26"/>
      <c r="B252" s="2" t="s">
        <v>520</v>
      </c>
      <c r="C252" s="2" t="s">
        <v>133</v>
      </c>
      <c r="D252" s="2" t="s">
        <v>798</v>
      </c>
      <c r="E252" s="2"/>
      <c r="F252" s="2"/>
      <c r="G252" s="2"/>
      <c r="H252" s="2" t="s">
        <v>202</v>
      </c>
      <c r="I252" s="9" t="s">
        <v>303</v>
      </c>
      <c r="J252" s="2">
        <v>120</v>
      </c>
      <c r="K252" s="2"/>
      <c r="L252" s="2">
        <v>616.15</v>
      </c>
      <c r="M252" s="22" t="s">
        <v>353</v>
      </c>
      <c r="N252" s="22"/>
      <c r="O252" s="2">
        <v>35</v>
      </c>
      <c r="P252" s="2"/>
      <c r="Q252" s="2"/>
      <c r="R252" s="1">
        <v>1</v>
      </c>
      <c r="S252" s="1">
        <v>1</v>
      </c>
      <c r="T252" s="1"/>
      <c r="U252" s="18" t="s">
        <v>13</v>
      </c>
      <c r="V252" s="18">
        <v>13</v>
      </c>
      <c r="W252" s="1"/>
      <c r="X252" s="26"/>
      <c r="Y252" s="22">
        <f>O252*R252</f>
        <v>35</v>
      </c>
      <c r="Z252" s="26"/>
      <c r="AA252" s="20" t="s">
        <v>354</v>
      </c>
      <c r="AB252" s="11" t="s">
        <v>799</v>
      </c>
    </row>
    <row r="253" spans="1:28" s="12" customFormat="1" ht="29.25" customHeight="1">
      <c r="A253" s="26"/>
      <c r="B253" s="2" t="s">
        <v>111</v>
      </c>
      <c r="C253" s="2" t="s">
        <v>110</v>
      </c>
      <c r="D253" s="2"/>
      <c r="E253" s="2"/>
      <c r="F253" s="2"/>
      <c r="G253" s="2"/>
      <c r="H253" s="2" t="s">
        <v>202</v>
      </c>
      <c r="I253" s="9" t="s">
        <v>303</v>
      </c>
      <c r="J253" s="2">
        <v>72</v>
      </c>
      <c r="K253" s="2"/>
      <c r="L253" s="2">
        <v>613</v>
      </c>
      <c r="M253" s="22" t="s">
        <v>353</v>
      </c>
      <c r="N253" s="22"/>
      <c r="O253" s="2">
        <v>20</v>
      </c>
      <c r="P253" s="2"/>
      <c r="Q253" s="2"/>
      <c r="R253" s="1">
        <v>3</v>
      </c>
      <c r="S253" s="1">
        <v>3</v>
      </c>
      <c r="T253" s="1"/>
      <c r="U253" s="18" t="s">
        <v>13</v>
      </c>
      <c r="V253" s="18">
        <v>13</v>
      </c>
      <c r="W253" s="1"/>
      <c r="X253" s="26"/>
      <c r="Y253" s="22">
        <f>O253*R253</f>
        <v>60</v>
      </c>
      <c r="Z253" s="26"/>
      <c r="AA253" s="20" t="s">
        <v>354</v>
      </c>
      <c r="AB253" s="11" t="s">
        <v>812</v>
      </c>
    </row>
    <row r="254" spans="1:28" s="12" customFormat="1" ht="29.25" customHeight="1">
      <c r="A254" s="26"/>
      <c r="B254" s="2" t="s">
        <v>521</v>
      </c>
      <c r="C254" s="2" t="s">
        <v>161</v>
      </c>
      <c r="D254" s="2"/>
      <c r="E254" s="2"/>
      <c r="F254" s="2"/>
      <c r="G254" s="2"/>
      <c r="H254" s="2" t="s">
        <v>202</v>
      </c>
      <c r="I254" s="9" t="s">
        <v>303</v>
      </c>
      <c r="J254" s="2">
        <v>54</v>
      </c>
      <c r="K254" s="2"/>
      <c r="L254" s="2">
        <v>616.99419</v>
      </c>
      <c r="M254" s="22" t="s">
        <v>353</v>
      </c>
      <c r="N254" s="22"/>
      <c r="O254" s="2">
        <v>15</v>
      </c>
      <c r="P254" s="2"/>
      <c r="Q254" s="2"/>
      <c r="R254" s="1">
        <v>5</v>
      </c>
      <c r="S254" s="1">
        <v>5</v>
      </c>
      <c r="T254" s="1"/>
      <c r="U254" s="18" t="s">
        <v>13</v>
      </c>
      <c r="V254" s="18">
        <v>13</v>
      </c>
      <c r="W254" s="1"/>
      <c r="X254" s="26"/>
      <c r="Y254" s="22">
        <f>O254*R254</f>
        <v>75</v>
      </c>
      <c r="Z254" s="26"/>
      <c r="AA254" s="20" t="s">
        <v>354</v>
      </c>
      <c r="AB254" s="11" t="s">
        <v>808</v>
      </c>
    </row>
    <row r="255" spans="1:28" s="12" customFormat="1" ht="29.25" customHeight="1">
      <c r="A255" s="26"/>
      <c r="B255" s="2" t="s">
        <v>38</v>
      </c>
      <c r="C255" s="2" t="s">
        <v>37</v>
      </c>
      <c r="D255" s="2" t="s">
        <v>805</v>
      </c>
      <c r="E255" s="2"/>
      <c r="F255" s="2"/>
      <c r="G255" s="2"/>
      <c r="H255" s="2" t="s">
        <v>202</v>
      </c>
      <c r="I255" s="9" t="s">
        <v>303</v>
      </c>
      <c r="J255" s="2">
        <v>115</v>
      </c>
      <c r="K255" s="2"/>
      <c r="L255" s="2"/>
      <c r="M255" s="22" t="s">
        <v>353</v>
      </c>
      <c r="N255" s="22"/>
      <c r="O255" s="2">
        <v>30</v>
      </c>
      <c r="P255" s="2"/>
      <c r="Q255" s="2"/>
      <c r="R255" s="1">
        <v>2</v>
      </c>
      <c r="S255" s="1">
        <v>2</v>
      </c>
      <c r="T255" s="1"/>
      <c r="U255" s="18" t="s">
        <v>13</v>
      </c>
      <c r="V255" s="18">
        <v>13</v>
      </c>
      <c r="W255" s="1"/>
      <c r="X255" s="26"/>
      <c r="Y255" s="22">
        <f>O255*R255</f>
        <v>60</v>
      </c>
      <c r="Z255" s="26"/>
      <c r="AA255" s="20" t="s">
        <v>354</v>
      </c>
      <c r="AB255" s="11"/>
    </row>
    <row r="256" spans="1:28" s="12" customFormat="1" ht="29.25" customHeight="1">
      <c r="A256" s="26"/>
      <c r="B256" s="2" t="s">
        <v>157</v>
      </c>
      <c r="C256" s="2" t="s">
        <v>161</v>
      </c>
      <c r="D256" s="2"/>
      <c r="E256" s="2"/>
      <c r="F256" s="2"/>
      <c r="G256" s="2"/>
      <c r="H256" s="2" t="s">
        <v>202</v>
      </c>
      <c r="I256" s="9" t="s">
        <v>303</v>
      </c>
      <c r="J256" s="2">
        <v>64</v>
      </c>
      <c r="K256" s="2"/>
      <c r="L256" s="2"/>
      <c r="M256" s="22" t="s">
        <v>353</v>
      </c>
      <c r="N256" s="22"/>
      <c r="O256" s="2">
        <v>20</v>
      </c>
      <c r="P256" s="2"/>
      <c r="Q256" s="2"/>
      <c r="R256" s="1">
        <v>5</v>
      </c>
      <c r="S256" s="1">
        <v>5</v>
      </c>
      <c r="T256" s="1"/>
      <c r="U256" s="18" t="s">
        <v>13</v>
      </c>
      <c r="V256" s="18">
        <v>13</v>
      </c>
      <c r="W256" s="1"/>
      <c r="X256" s="26"/>
      <c r="Y256" s="22">
        <f>O256*R256</f>
        <v>100</v>
      </c>
      <c r="Z256" s="26"/>
      <c r="AA256" s="20" t="s">
        <v>354</v>
      </c>
      <c r="AB256" s="11" t="s">
        <v>807</v>
      </c>
    </row>
    <row r="257" spans="1:28" s="12" customFormat="1" ht="29.25" customHeight="1">
      <c r="A257" s="26"/>
      <c r="B257" s="2" t="s">
        <v>86</v>
      </c>
      <c r="C257" s="2" t="s">
        <v>85</v>
      </c>
      <c r="D257" s="2"/>
      <c r="E257" s="2"/>
      <c r="F257" s="2"/>
      <c r="G257" s="2"/>
      <c r="H257" s="2" t="s">
        <v>202</v>
      </c>
      <c r="I257" s="9" t="s">
        <v>303</v>
      </c>
      <c r="J257" s="2">
        <v>194</v>
      </c>
      <c r="K257" s="2" t="s">
        <v>851</v>
      </c>
      <c r="L257" s="2"/>
      <c r="M257" s="22" t="s">
        <v>353</v>
      </c>
      <c r="N257" s="22"/>
      <c r="O257" s="2">
        <v>55</v>
      </c>
      <c r="P257" s="2"/>
      <c r="Q257" s="2"/>
      <c r="R257" s="1">
        <v>1</v>
      </c>
      <c r="S257" s="1">
        <v>1</v>
      </c>
      <c r="T257" s="1"/>
      <c r="U257" s="18" t="s">
        <v>13</v>
      </c>
      <c r="V257" s="18">
        <v>13</v>
      </c>
      <c r="W257" s="1" t="s">
        <v>364</v>
      </c>
      <c r="X257" s="26"/>
      <c r="Y257" s="22">
        <f>O257*R257</f>
        <v>55</v>
      </c>
      <c r="Z257" s="26"/>
      <c r="AA257" s="20" t="s">
        <v>354</v>
      </c>
      <c r="AB257" s="11"/>
    </row>
    <row r="258" spans="1:28" s="12" customFormat="1" ht="29.25" customHeight="1">
      <c r="A258" s="26"/>
      <c r="B258" s="2" t="s">
        <v>143</v>
      </c>
      <c r="C258" s="2" t="s">
        <v>142</v>
      </c>
      <c r="D258" s="2" t="s">
        <v>790</v>
      </c>
      <c r="E258" s="2"/>
      <c r="F258" s="2"/>
      <c r="G258" s="2"/>
      <c r="H258" s="2" t="s">
        <v>202</v>
      </c>
      <c r="I258" s="9" t="s">
        <v>303</v>
      </c>
      <c r="J258" s="2">
        <v>184</v>
      </c>
      <c r="K258" s="2"/>
      <c r="L258" s="2"/>
      <c r="M258" s="22" t="s">
        <v>353</v>
      </c>
      <c r="N258" s="22"/>
      <c r="O258" s="2">
        <v>95</v>
      </c>
      <c r="P258" s="2"/>
      <c r="Q258" s="2"/>
      <c r="R258" s="1">
        <v>1</v>
      </c>
      <c r="S258" s="1">
        <v>1</v>
      </c>
      <c r="T258" s="1"/>
      <c r="U258" s="18" t="s">
        <v>13</v>
      </c>
      <c r="V258" s="18">
        <v>13</v>
      </c>
      <c r="W258" s="1"/>
      <c r="X258" s="26"/>
      <c r="Y258" s="22">
        <f>O258*R258</f>
        <v>95</v>
      </c>
      <c r="Z258" s="26"/>
      <c r="AA258" s="20" t="s">
        <v>354</v>
      </c>
      <c r="AB258" s="11" t="s">
        <v>791</v>
      </c>
    </row>
    <row r="259" spans="1:28" s="12" customFormat="1" ht="29.25" customHeight="1">
      <c r="A259" s="26"/>
      <c r="B259" s="2" t="s">
        <v>522</v>
      </c>
      <c r="C259" s="2" t="s">
        <v>281</v>
      </c>
      <c r="D259" s="2"/>
      <c r="E259" s="2"/>
      <c r="F259" s="2"/>
      <c r="G259" s="2"/>
      <c r="H259" s="2" t="s">
        <v>202</v>
      </c>
      <c r="I259" s="9" t="s">
        <v>303</v>
      </c>
      <c r="J259" s="2">
        <v>67</v>
      </c>
      <c r="K259" s="2"/>
      <c r="L259" s="2">
        <v>616.97919999999999</v>
      </c>
      <c r="M259" s="22" t="s">
        <v>353</v>
      </c>
      <c r="N259" s="22"/>
      <c r="O259" s="2">
        <v>25</v>
      </c>
      <c r="P259" s="2"/>
      <c r="Q259" s="2"/>
      <c r="R259" s="1">
        <v>1</v>
      </c>
      <c r="S259" s="1">
        <v>1</v>
      </c>
      <c r="T259" s="1"/>
      <c r="U259" s="18" t="s">
        <v>13</v>
      </c>
      <c r="V259" s="18">
        <v>13</v>
      </c>
      <c r="W259" s="1"/>
      <c r="X259" s="26"/>
      <c r="Y259" s="22">
        <f>O259*R259</f>
        <v>25</v>
      </c>
      <c r="Z259" s="26"/>
      <c r="AA259" s="20" t="s">
        <v>354</v>
      </c>
      <c r="AB259" s="11" t="s">
        <v>797</v>
      </c>
    </row>
    <row r="260" spans="1:28" s="12" customFormat="1" ht="29.25" customHeight="1">
      <c r="A260" s="26"/>
      <c r="B260" s="2" t="s">
        <v>28</v>
      </c>
      <c r="C260" s="2" t="s">
        <v>27</v>
      </c>
      <c r="D260" s="2" t="s">
        <v>831</v>
      </c>
      <c r="E260" s="2"/>
      <c r="F260" s="2"/>
      <c r="G260" s="2"/>
      <c r="H260" s="2" t="s">
        <v>202</v>
      </c>
      <c r="I260" s="9" t="s">
        <v>303</v>
      </c>
      <c r="J260" s="2">
        <v>224</v>
      </c>
      <c r="K260" s="2"/>
      <c r="L260" s="2">
        <v>616.44000000000005</v>
      </c>
      <c r="M260" s="22" t="s">
        <v>353</v>
      </c>
      <c r="N260" s="22"/>
      <c r="O260" s="2">
        <v>65</v>
      </c>
      <c r="P260" s="2"/>
      <c r="Q260" s="2"/>
      <c r="R260" s="1">
        <v>1</v>
      </c>
      <c r="S260" s="1">
        <v>1</v>
      </c>
      <c r="T260" s="1"/>
      <c r="U260" s="18" t="s">
        <v>13</v>
      </c>
      <c r="V260" s="18">
        <v>14</v>
      </c>
      <c r="W260" s="1"/>
      <c r="X260" s="26"/>
      <c r="Y260" s="22">
        <f>O260*R260</f>
        <v>65</v>
      </c>
      <c r="Z260" s="26"/>
      <c r="AA260" s="20" t="s">
        <v>354</v>
      </c>
      <c r="AB260" s="11" t="s">
        <v>832</v>
      </c>
    </row>
    <row r="261" spans="1:28" s="12" customFormat="1" ht="29.25" customHeight="1">
      <c r="A261" s="26"/>
      <c r="B261" s="2" t="s">
        <v>129</v>
      </c>
      <c r="C261" s="2" t="s">
        <v>128</v>
      </c>
      <c r="D261" s="2"/>
      <c r="E261" s="2"/>
      <c r="F261" s="2"/>
      <c r="G261" s="2"/>
      <c r="H261" s="2" t="s">
        <v>202</v>
      </c>
      <c r="I261" s="9" t="s">
        <v>303</v>
      </c>
      <c r="J261" s="2">
        <v>90</v>
      </c>
      <c r="K261" s="2"/>
      <c r="L261" s="2"/>
      <c r="M261" s="22" t="s">
        <v>353</v>
      </c>
      <c r="N261" s="22"/>
      <c r="O261" s="2">
        <v>25</v>
      </c>
      <c r="P261" s="2"/>
      <c r="Q261" s="2"/>
      <c r="R261" s="1">
        <v>1</v>
      </c>
      <c r="S261" s="1">
        <v>1</v>
      </c>
      <c r="T261" s="1"/>
      <c r="U261" s="18" t="s">
        <v>13</v>
      </c>
      <c r="V261" s="18">
        <v>14</v>
      </c>
      <c r="W261" s="1"/>
      <c r="X261" s="26"/>
      <c r="Y261" s="22">
        <f>O261*R261</f>
        <v>25</v>
      </c>
      <c r="Z261" s="26"/>
      <c r="AA261" s="20" t="s">
        <v>354</v>
      </c>
      <c r="AB261" s="11"/>
    </row>
    <row r="262" spans="1:28" s="12" customFormat="1" ht="29.25" customHeight="1">
      <c r="A262" s="26"/>
      <c r="B262" s="2" t="s">
        <v>784</v>
      </c>
      <c r="C262" s="2" t="s">
        <v>785</v>
      </c>
      <c r="D262" s="2"/>
      <c r="E262" s="2"/>
      <c r="F262" s="2"/>
      <c r="G262" s="2"/>
      <c r="H262" s="2" t="s">
        <v>202</v>
      </c>
      <c r="I262" s="9" t="s">
        <v>303</v>
      </c>
      <c r="J262" s="2">
        <v>218</v>
      </c>
      <c r="K262" s="2" t="s">
        <v>778</v>
      </c>
      <c r="L262" s="2"/>
      <c r="M262" s="22"/>
      <c r="N262" s="22"/>
      <c r="O262" s="2">
        <v>110</v>
      </c>
      <c r="P262" s="2"/>
      <c r="Q262" s="2"/>
      <c r="R262" s="1">
        <v>1</v>
      </c>
      <c r="S262" s="1">
        <v>1</v>
      </c>
      <c r="T262" s="1"/>
      <c r="U262" s="18" t="s">
        <v>13</v>
      </c>
      <c r="V262" s="18">
        <v>15</v>
      </c>
      <c r="W262" s="1" t="s">
        <v>364</v>
      </c>
      <c r="X262" s="26"/>
      <c r="Y262" s="22"/>
      <c r="Z262" s="26"/>
      <c r="AA262" s="20"/>
      <c r="AB262" s="11"/>
    </row>
    <row r="263" spans="1:28" s="12" customFormat="1" ht="29.25" customHeight="1">
      <c r="A263" s="26"/>
      <c r="B263" s="2" t="s">
        <v>156</v>
      </c>
      <c r="C263" s="2" t="s">
        <v>155</v>
      </c>
      <c r="D263" s="2" t="s">
        <v>273</v>
      </c>
      <c r="E263" s="2"/>
      <c r="F263" s="2"/>
      <c r="G263" s="2"/>
      <c r="H263" s="2" t="s">
        <v>202</v>
      </c>
      <c r="I263" s="9" t="s">
        <v>303</v>
      </c>
      <c r="J263" s="2">
        <v>80</v>
      </c>
      <c r="K263" s="2"/>
      <c r="L263" s="2">
        <v>616.44000000000005</v>
      </c>
      <c r="M263" s="22" t="s">
        <v>353</v>
      </c>
      <c r="N263" s="22"/>
      <c r="O263" s="2">
        <v>25</v>
      </c>
      <c r="P263" s="2"/>
      <c r="Q263" s="2"/>
      <c r="R263" s="1">
        <v>5</v>
      </c>
      <c r="S263" s="1">
        <v>5</v>
      </c>
      <c r="T263" s="1"/>
      <c r="U263" s="18" t="s">
        <v>13</v>
      </c>
      <c r="V263" s="18">
        <v>14</v>
      </c>
      <c r="W263" s="1"/>
      <c r="X263" s="26"/>
      <c r="Y263" s="22">
        <f>O263*R263</f>
        <v>125</v>
      </c>
      <c r="Z263" s="26"/>
      <c r="AA263" s="20" t="s">
        <v>354</v>
      </c>
      <c r="AB263" s="11" t="s">
        <v>833</v>
      </c>
    </row>
    <row r="264" spans="1:28" s="12" customFormat="1" ht="29.25" customHeight="1">
      <c r="A264" s="26"/>
      <c r="B264" s="2" t="s">
        <v>523</v>
      </c>
      <c r="C264" s="2" t="s">
        <v>161</v>
      </c>
      <c r="D264" s="2"/>
      <c r="E264" s="2"/>
      <c r="F264" s="2"/>
      <c r="G264" s="2"/>
      <c r="H264" s="2" t="s">
        <v>202</v>
      </c>
      <c r="I264" s="9" t="s">
        <v>303</v>
      </c>
      <c r="J264" s="2">
        <v>56</v>
      </c>
      <c r="K264" s="2"/>
      <c r="L264" s="2">
        <v>616.44000000000005</v>
      </c>
      <c r="M264" s="22" t="s">
        <v>353</v>
      </c>
      <c r="N264" s="22"/>
      <c r="O264" s="2">
        <v>30</v>
      </c>
      <c r="P264" s="2"/>
      <c r="Q264" s="2"/>
      <c r="R264" s="1">
        <v>8</v>
      </c>
      <c r="S264" s="1">
        <v>8</v>
      </c>
      <c r="T264" s="1"/>
      <c r="U264" s="18" t="s">
        <v>13</v>
      </c>
      <c r="V264" s="18">
        <v>14</v>
      </c>
      <c r="W264" s="1"/>
      <c r="X264" s="26"/>
      <c r="Y264" s="22">
        <f>O264*R264</f>
        <v>240</v>
      </c>
      <c r="Z264" s="26"/>
      <c r="AA264" s="20" t="s">
        <v>354</v>
      </c>
      <c r="AB264" s="11" t="s">
        <v>828</v>
      </c>
    </row>
    <row r="265" spans="1:28" s="12" customFormat="1" ht="29.25" customHeight="1">
      <c r="A265" s="26"/>
      <c r="B265" s="2" t="s">
        <v>524</v>
      </c>
      <c r="C265" s="2" t="s">
        <v>161</v>
      </c>
      <c r="D265" s="2"/>
      <c r="E265" s="2"/>
      <c r="F265" s="2"/>
      <c r="G265" s="2"/>
      <c r="H265" s="2" t="s">
        <v>202</v>
      </c>
      <c r="I265" s="9" t="s">
        <v>303</v>
      </c>
      <c r="J265" s="2">
        <v>80</v>
      </c>
      <c r="K265" s="2"/>
      <c r="L265" s="2">
        <v>616.99429999999995</v>
      </c>
      <c r="M265" s="22" t="s">
        <v>353</v>
      </c>
      <c r="N265" s="22"/>
      <c r="O265" s="2">
        <v>45</v>
      </c>
      <c r="P265" s="2"/>
      <c r="Q265" s="2"/>
      <c r="R265" s="1">
        <v>5</v>
      </c>
      <c r="S265" s="1">
        <v>5</v>
      </c>
      <c r="T265" s="1"/>
      <c r="U265" s="18" t="s">
        <v>13</v>
      </c>
      <c r="V265" s="18">
        <v>14</v>
      </c>
      <c r="W265" s="1"/>
      <c r="X265" s="26"/>
      <c r="Y265" s="22">
        <f>O265*R265</f>
        <v>225</v>
      </c>
      <c r="Z265" s="26"/>
      <c r="AA265" s="20" t="s">
        <v>354</v>
      </c>
      <c r="AB265" s="11" t="s">
        <v>816</v>
      </c>
    </row>
    <row r="266" spans="1:28" s="12" customFormat="1" ht="29.25" customHeight="1">
      <c r="A266" s="26"/>
      <c r="B266" s="2" t="s">
        <v>525</v>
      </c>
      <c r="C266" s="2" t="s">
        <v>161</v>
      </c>
      <c r="D266" s="2"/>
      <c r="E266" s="2"/>
      <c r="F266" s="2"/>
      <c r="G266" s="2"/>
      <c r="H266" s="2" t="s">
        <v>202</v>
      </c>
      <c r="I266" s="9" t="s">
        <v>303</v>
      </c>
      <c r="J266" s="2">
        <v>64</v>
      </c>
      <c r="K266" s="2"/>
      <c r="L266" s="2">
        <v>616.33199999999999</v>
      </c>
      <c r="M266" s="22" t="s">
        <v>353</v>
      </c>
      <c r="N266" s="22"/>
      <c r="O266" s="2">
        <v>35</v>
      </c>
      <c r="P266" s="2"/>
      <c r="Q266" s="2"/>
      <c r="R266" s="1">
        <v>5</v>
      </c>
      <c r="S266" s="1">
        <v>5</v>
      </c>
      <c r="T266" s="1"/>
      <c r="U266" s="18" t="s">
        <v>13</v>
      </c>
      <c r="V266" s="18">
        <v>14</v>
      </c>
      <c r="W266" s="1"/>
      <c r="X266" s="26"/>
      <c r="Y266" s="22">
        <f>O266*R266</f>
        <v>175</v>
      </c>
      <c r="Z266" s="26"/>
      <c r="AA266" s="20" t="s">
        <v>354</v>
      </c>
      <c r="AB266" s="11" t="s">
        <v>829</v>
      </c>
    </row>
    <row r="267" spans="1:28" s="12" customFormat="1" ht="29.25" customHeight="1">
      <c r="A267" s="26"/>
      <c r="B267" s="2" t="s">
        <v>526</v>
      </c>
      <c r="C267" s="2" t="s">
        <v>162</v>
      </c>
      <c r="D267" s="2" t="s">
        <v>712</v>
      </c>
      <c r="E267" s="2"/>
      <c r="F267" s="2"/>
      <c r="G267" s="2"/>
      <c r="H267" s="2" t="s">
        <v>202</v>
      </c>
      <c r="I267" s="9" t="s">
        <v>303</v>
      </c>
      <c r="J267" s="2">
        <v>104</v>
      </c>
      <c r="K267" s="2" t="s">
        <v>847</v>
      </c>
      <c r="L267" s="2">
        <v>616.33199999999999</v>
      </c>
      <c r="M267" s="22" t="s">
        <v>353</v>
      </c>
      <c r="N267" s="22"/>
      <c r="O267" s="2">
        <v>30</v>
      </c>
      <c r="P267" s="2"/>
      <c r="Q267" s="2"/>
      <c r="R267" s="1">
        <v>1</v>
      </c>
      <c r="S267" s="1">
        <v>1</v>
      </c>
      <c r="T267" s="1"/>
      <c r="U267" s="18" t="s">
        <v>13</v>
      </c>
      <c r="V267" s="18">
        <v>14</v>
      </c>
      <c r="W267" s="1" t="s">
        <v>364</v>
      </c>
      <c r="X267" s="26"/>
      <c r="Y267" s="22">
        <f>O267*R267</f>
        <v>30</v>
      </c>
      <c r="Z267" s="26"/>
      <c r="AA267" s="20" t="s">
        <v>354</v>
      </c>
      <c r="AB267" s="11" t="s">
        <v>848</v>
      </c>
    </row>
    <row r="268" spans="1:28" s="12" customFormat="1" ht="29.25" customHeight="1">
      <c r="A268" s="26"/>
      <c r="B268" s="2" t="s">
        <v>527</v>
      </c>
      <c r="C268" s="2" t="s">
        <v>161</v>
      </c>
      <c r="D268" s="2"/>
      <c r="E268" s="2"/>
      <c r="F268" s="2"/>
      <c r="G268" s="2"/>
      <c r="H268" s="2" t="s">
        <v>202</v>
      </c>
      <c r="I268" s="9" t="s">
        <v>303</v>
      </c>
      <c r="J268" s="2">
        <v>48</v>
      </c>
      <c r="K268" s="2"/>
      <c r="L268" s="2">
        <v>616.32000000000005</v>
      </c>
      <c r="M268" s="22" t="s">
        <v>353</v>
      </c>
      <c r="N268" s="22"/>
      <c r="O268" s="2">
        <v>25</v>
      </c>
      <c r="P268" s="2"/>
      <c r="Q268" s="2"/>
      <c r="R268" s="1">
        <v>5</v>
      </c>
      <c r="S268" s="1">
        <v>5</v>
      </c>
      <c r="T268" s="1"/>
      <c r="U268" s="18" t="s">
        <v>13</v>
      </c>
      <c r="V268" s="18">
        <v>14</v>
      </c>
      <c r="W268" s="1"/>
      <c r="X268" s="26"/>
      <c r="Y268" s="22">
        <f>O268*R268</f>
        <v>125</v>
      </c>
      <c r="Z268" s="26"/>
      <c r="AA268" s="20" t="s">
        <v>354</v>
      </c>
      <c r="AB268" s="11" t="s">
        <v>830</v>
      </c>
    </row>
    <row r="269" spans="1:28" s="12" customFormat="1" ht="29.25" customHeight="1">
      <c r="A269" s="26"/>
      <c r="B269" s="2" t="s">
        <v>528</v>
      </c>
      <c r="C269" s="2" t="s">
        <v>105</v>
      </c>
      <c r="D269" s="2"/>
      <c r="E269" s="2"/>
      <c r="F269" s="2"/>
      <c r="G269" s="2"/>
      <c r="H269" s="2" t="s">
        <v>202</v>
      </c>
      <c r="I269" s="9" t="s">
        <v>303</v>
      </c>
      <c r="J269" s="2">
        <v>64</v>
      </c>
      <c r="K269" s="2"/>
      <c r="L269" s="2">
        <v>616.33065399999998</v>
      </c>
      <c r="M269" s="22" t="s">
        <v>353</v>
      </c>
      <c r="N269" s="22"/>
      <c r="O269" s="2">
        <v>20</v>
      </c>
      <c r="P269" s="2"/>
      <c r="Q269" s="2"/>
      <c r="R269" s="13">
        <v>5</v>
      </c>
      <c r="S269" s="13">
        <v>5</v>
      </c>
      <c r="T269" s="13"/>
      <c r="U269" s="18" t="s">
        <v>13</v>
      </c>
      <c r="V269" s="18">
        <v>14</v>
      </c>
      <c r="W269" s="1"/>
      <c r="X269" s="26"/>
      <c r="Y269" s="22">
        <f>O269*R269</f>
        <v>100</v>
      </c>
      <c r="Z269" s="26"/>
      <c r="AA269" s="20" t="s">
        <v>354</v>
      </c>
      <c r="AB269" s="11" t="s">
        <v>834</v>
      </c>
    </row>
    <row r="270" spans="1:28" s="12" customFormat="1" ht="29.25" customHeight="1">
      <c r="A270" s="26"/>
      <c r="B270" s="2" t="s">
        <v>529</v>
      </c>
      <c r="C270" s="2" t="s">
        <v>103</v>
      </c>
      <c r="D270" s="2"/>
      <c r="E270" s="2"/>
      <c r="F270" s="2"/>
      <c r="G270" s="2"/>
      <c r="H270" s="2" t="s">
        <v>202</v>
      </c>
      <c r="I270" s="9" t="s">
        <v>303</v>
      </c>
      <c r="J270" s="2">
        <v>312</v>
      </c>
      <c r="K270" s="2"/>
      <c r="L270" s="2">
        <v>616.29999999999995</v>
      </c>
      <c r="M270" s="22" t="s">
        <v>353</v>
      </c>
      <c r="N270" s="22"/>
      <c r="O270" s="2">
        <v>160</v>
      </c>
      <c r="P270" s="2"/>
      <c r="Q270" s="2"/>
      <c r="R270" s="1">
        <v>2</v>
      </c>
      <c r="S270" s="1">
        <v>1</v>
      </c>
      <c r="T270" s="1"/>
      <c r="U270" s="18" t="s">
        <v>13</v>
      </c>
      <c r="V270" s="18">
        <v>14</v>
      </c>
      <c r="W270" s="1"/>
      <c r="X270" s="26"/>
      <c r="Y270" s="22">
        <f>O270*R270</f>
        <v>320</v>
      </c>
      <c r="Z270" s="26"/>
      <c r="AA270" s="20" t="s">
        <v>354</v>
      </c>
      <c r="AB270" s="11" t="s">
        <v>826</v>
      </c>
    </row>
    <row r="271" spans="1:28" s="12" customFormat="1" ht="29.25" customHeight="1">
      <c r="A271" s="26"/>
      <c r="B271" s="2" t="s">
        <v>530</v>
      </c>
      <c r="C271" s="2" t="s">
        <v>125</v>
      </c>
      <c r="D271" s="2"/>
      <c r="E271" s="2"/>
      <c r="F271" s="2"/>
      <c r="G271" s="2"/>
      <c r="H271" s="2" t="s">
        <v>202</v>
      </c>
      <c r="I271" s="9" t="s">
        <v>303</v>
      </c>
      <c r="J271" s="2">
        <v>476</v>
      </c>
      <c r="K271" s="2"/>
      <c r="L271" s="2"/>
      <c r="M271" s="22" t="s">
        <v>353</v>
      </c>
      <c r="N271" s="22"/>
      <c r="O271" s="2">
        <v>240</v>
      </c>
      <c r="P271" s="2"/>
      <c r="Q271" s="2"/>
      <c r="R271" s="1">
        <v>1</v>
      </c>
      <c r="S271" s="1">
        <v>1</v>
      </c>
      <c r="T271" s="1"/>
      <c r="U271" s="18" t="s">
        <v>13</v>
      </c>
      <c r="V271" s="18">
        <v>14</v>
      </c>
      <c r="W271" s="1"/>
      <c r="X271" s="26"/>
      <c r="Y271" s="22">
        <f>O271*R271</f>
        <v>240</v>
      </c>
      <c r="Z271" s="26"/>
      <c r="AA271" s="20" t="s">
        <v>354</v>
      </c>
      <c r="AB271" s="11"/>
    </row>
    <row r="272" spans="1:28" s="12" customFormat="1" ht="29.25" customHeight="1">
      <c r="A272" s="26"/>
      <c r="B272" s="2" t="s">
        <v>81</v>
      </c>
      <c r="C272" s="2" t="s">
        <v>80</v>
      </c>
      <c r="D272" s="2"/>
      <c r="E272" s="2"/>
      <c r="F272" s="2"/>
      <c r="G272" s="2"/>
      <c r="H272" s="2" t="s">
        <v>202</v>
      </c>
      <c r="I272" s="9" t="s">
        <v>303</v>
      </c>
      <c r="J272" s="2">
        <v>367</v>
      </c>
      <c r="K272" s="2"/>
      <c r="L272" s="2"/>
      <c r="M272" s="22" t="s">
        <v>353</v>
      </c>
      <c r="N272" s="22"/>
      <c r="O272" s="2">
        <v>235</v>
      </c>
      <c r="P272" s="2"/>
      <c r="Q272" s="2"/>
      <c r="R272" s="1">
        <v>1</v>
      </c>
      <c r="S272" s="1">
        <v>1</v>
      </c>
      <c r="T272" s="1"/>
      <c r="U272" s="18" t="s">
        <v>13</v>
      </c>
      <c r="V272" s="18">
        <v>14</v>
      </c>
      <c r="W272" s="1"/>
      <c r="X272" s="26"/>
      <c r="Y272" s="22">
        <f>O272*R272</f>
        <v>235</v>
      </c>
      <c r="Z272" s="26"/>
      <c r="AA272" s="20" t="s">
        <v>354</v>
      </c>
      <c r="AB272" s="11"/>
    </row>
    <row r="273" spans="1:28" s="12" customFormat="1" ht="29.25" customHeight="1">
      <c r="A273" s="26"/>
      <c r="B273" s="2" t="s">
        <v>531</v>
      </c>
      <c r="C273" s="2" t="s">
        <v>97</v>
      </c>
      <c r="D273" s="2" t="s">
        <v>836</v>
      </c>
      <c r="E273" s="2"/>
      <c r="F273" s="2"/>
      <c r="G273" s="2"/>
      <c r="H273" s="2" t="s">
        <v>202</v>
      </c>
      <c r="I273" s="9" t="s">
        <v>303</v>
      </c>
      <c r="J273" s="2">
        <v>185</v>
      </c>
      <c r="K273" s="2"/>
      <c r="L273" s="2"/>
      <c r="M273" s="22" t="s">
        <v>353</v>
      </c>
      <c r="N273" s="22"/>
      <c r="O273" s="2">
        <v>95</v>
      </c>
      <c r="P273" s="2"/>
      <c r="Q273" s="2"/>
      <c r="R273" s="1">
        <v>1</v>
      </c>
      <c r="S273" s="1">
        <v>1</v>
      </c>
      <c r="T273" s="1"/>
      <c r="U273" s="18" t="s">
        <v>13</v>
      </c>
      <c r="V273" s="18">
        <v>14</v>
      </c>
      <c r="W273" s="1"/>
      <c r="X273" s="26"/>
      <c r="Y273" s="22">
        <f>O273*R273</f>
        <v>95</v>
      </c>
      <c r="Z273" s="26"/>
      <c r="AA273" s="20" t="s">
        <v>354</v>
      </c>
      <c r="AB273" s="11"/>
    </row>
    <row r="274" spans="1:28" s="12" customFormat="1" ht="29.25" customHeight="1">
      <c r="A274" s="26"/>
      <c r="B274" s="2" t="s">
        <v>532</v>
      </c>
      <c r="C274" s="2" t="s">
        <v>170</v>
      </c>
      <c r="D274" s="2" t="s">
        <v>819</v>
      </c>
      <c r="E274" s="2"/>
      <c r="F274" s="2"/>
      <c r="G274" s="2"/>
      <c r="H274" s="2" t="s">
        <v>202</v>
      </c>
      <c r="I274" s="9" t="s">
        <v>303</v>
      </c>
      <c r="J274" s="2">
        <v>261</v>
      </c>
      <c r="K274" s="2" t="s">
        <v>895</v>
      </c>
      <c r="L274" s="2">
        <v>616.36199999999997</v>
      </c>
      <c r="M274" s="22" t="s">
        <v>353</v>
      </c>
      <c r="N274" s="22"/>
      <c r="O274" s="2">
        <v>70</v>
      </c>
      <c r="P274" s="2"/>
      <c r="Q274" s="2"/>
      <c r="R274" s="13">
        <v>3</v>
      </c>
      <c r="S274" s="13">
        <v>3</v>
      </c>
      <c r="T274" s="13"/>
      <c r="U274" s="18" t="s">
        <v>13</v>
      </c>
      <c r="V274" s="18">
        <v>14</v>
      </c>
      <c r="W274" s="1" t="s">
        <v>364</v>
      </c>
      <c r="X274" s="26"/>
      <c r="Y274" s="22">
        <f>O274*R274</f>
        <v>210</v>
      </c>
      <c r="Z274" s="26"/>
      <c r="AA274" s="20" t="s">
        <v>354</v>
      </c>
      <c r="AB274" s="11" t="s">
        <v>896</v>
      </c>
    </row>
    <row r="275" spans="1:28" s="12" customFormat="1" ht="29.25" customHeight="1">
      <c r="A275" s="26"/>
      <c r="B275" s="2" t="s">
        <v>533</v>
      </c>
      <c r="C275" s="2" t="s">
        <v>103</v>
      </c>
      <c r="D275" s="2"/>
      <c r="E275" s="2"/>
      <c r="F275" s="2"/>
      <c r="G275" s="2"/>
      <c r="H275" s="2" t="s">
        <v>202</v>
      </c>
      <c r="I275" s="9" t="s">
        <v>303</v>
      </c>
      <c r="J275" s="2">
        <v>304</v>
      </c>
      <c r="K275" s="2"/>
      <c r="L275" s="2">
        <v>616.36199999999997</v>
      </c>
      <c r="M275" s="22" t="s">
        <v>353</v>
      </c>
      <c r="N275" s="22"/>
      <c r="O275" s="2">
        <v>155</v>
      </c>
      <c r="P275" s="2"/>
      <c r="Q275" s="2"/>
      <c r="R275" s="13">
        <v>2</v>
      </c>
      <c r="S275" s="13">
        <v>1</v>
      </c>
      <c r="T275" s="13"/>
      <c r="U275" s="18" t="s">
        <v>13</v>
      </c>
      <c r="V275" s="18">
        <v>14</v>
      </c>
      <c r="W275" s="1"/>
      <c r="X275" s="26"/>
      <c r="Y275" s="22">
        <f>O275*R275</f>
        <v>310</v>
      </c>
      <c r="Z275" s="26"/>
      <c r="AA275" s="20" t="s">
        <v>354</v>
      </c>
      <c r="AB275" s="11" t="s">
        <v>825</v>
      </c>
    </row>
    <row r="276" spans="1:28" s="12" customFormat="1" ht="29.25" customHeight="1">
      <c r="A276" s="26"/>
      <c r="B276" s="2" t="s">
        <v>534</v>
      </c>
      <c r="C276" s="2" t="s">
        <v>170</v>
      </c>
      <c r="D276" s="2" t="s">
        <v>822</v>
      </c>
      <c r="E276" s="2"/>
      <c r="F276" s="2"/>
      <c r="G276" s="2"/>
      <c r="H276" s="2" t="s">
        <v>202</v>
      </c>
      <c r="I276" s="9" t="s">
        <v>303</v>
      </c>
      <c r="J276" s="2">
        <v>549</v>
      </c>
      <c r="K276" s="2"/>
      <c r="L276" s="2">
        <v>616.4</v>
      </c>
      <c r="M276" s="22" t="s">
        <v>353</v>
      </c>
      <c r="N276" s="22"/>
      <c r="O276" s="2">
        <v>150</v>
      </c>
      <c r="P276" s="2"/>
      <c r="Q276" s="2"/>
      <c r="R276" s="1">
        <v>1</v>
      </c>
      <c r="S276" s="1">
        <v>1</v>
      </c>
      <c r="T276" s="1"/>
      <c r="U276" s="18" t="s">
        <v>13</v>
      </c>
      <c r="V276" s="18">
        <v>14</v>
      </c>
      <c r="W276" s="1"/>
      <c r="X276" s="26"/>
      <c r="Y276" s="22">
        <f>O276*R276</f>
        <v>150</v>
      </c>
      <c r="Z276" s="26"/>
      <c r="AA276" s="20" t="s">
        <v>354</v>
      </c>
      <c r="AB276" s="11" t="s">
        <v>823</v>
      </c>
    </row>
    <row r="277" spans="1:28" s="12" customFormat="1" ht="29.25" customHeight="1">
      <c r="A277" s="26"/>
      <c r="B277" s="2" t="s">
        <v>535</v>
      </c>
      <c r="C277" s="2" t="s">
        <v>232</v>
      </c>
      <c r="D277" s="2" t="s">
        <v>835</v>
      </c>
      <c r="E277" s="2"/>
      <c r="F277" s="2"/>
      <c r="G277" s="2"/>
      <c r="H277" s="2" t="s">
        <v>202</v>
      </c>
      <c r="I277" s="9" t="s">
        <v>303</v>
      </c>
      <c r="J277" s="2">
        <v>446</v>
      </c>
      <c r="K277" s="2"/>
      <c r="L277" s="2"/>
      <c r="M277" s="22" t="s">
        <v>353</v>
      </c>
      <c r="N277" s="22"/>
      <c r="O277" s="2">
        <v>225</v>
      </c>
      <c r="P277" s="2"/>
      <c r="Q277" s="2"/>
      <c r="R277" s="1">
        <v>1</v>
      </c>
      <c r="S277" s="1">
        <v>1</v>
      </c>
      <c r="T277" s="1"/>
      <c r="U277" s="18" t="s">
        <v>13</v>
      </c>
      <c r="V277" s="18">
        <v>14</v>
      </c>
      <c r="W277" s="1"/>
      <c r="X277" s="26"/>
      <c r="Y277" s="22">
        <f>O277*R277</f>
        <v>225</v>
      </c>
      <c r="Z277" s="26"/>
      <c r="AA277" s="20" t="s">
        <v>354</v>
      </c>
      <c r="AB277" s="11"/>
    </row>
    <row r="278" spans="1:28" s="12" customFormat="1" ht="29.25" customHeight="1">
      <c r="A278" s="26"/>
      <c r="B278" s="2" t="s">
        <v>107</v>
      </c>
      <c r="C278" s="2" t="s">
        <v>106</v>
      </c>
      <c r="D278" s="2"/>
      <c r="E278" s="2"/>
      <c r="F278" s="2"/>
      <c r="G278" s="2"/>
      <c r="H278" s="2" t="s">
        <v>202</v>
      </c>
      <c r="I278" s="9" t="s">
        <v>303</v>
      </c>
      <c r="J278" s="2">
        <v>100</v>
      </c>
      <c r="K278" s="2"/>
      <c r="L278" s="2"/>
      <c r="M278" s="22" t="s">
        <v>353</v>
      </c>
      <c r="N278" s="22"/>
      <c r="O278" s="2">
        <v>30</v>
      </c>
      <c r="P278" s="2"/>
      <c r="Q278" s="2"/>
      <c r="R278" s="1">
        <v>1</v>
      </c>
      <c r="S278" s="1">
        <v>1</v>
      </c>
      <c r="T278" s="1"/>
      <c r="U278" s="18" t="s">
        <v>13</v>
      </c>
      <c r="V278" s="18">
        <v>14</v>
      </c>
      <c r="W278" s="1"/>
      <c r="X278" s="26"/>
      <c r="Y278" s="22">
        <f>O278*R278</f>
        <v>30</v>
      </c>
      <c r="Z278" s="26"/>
      <c r="AA278" s="20" t="s">
        <v>354</v>
      </c>
      <c r="AB278" s="11"/>
    </row>
    <row r="279" spans="1:28" s="12" customFormat="1" ht="29.25" customHeight="1">
      <c r="A279" s="26"/>
      <c r="B279" s="2" t="s">
        <v>536</v>
      </c>
      <c r="C279" s="2" t="s">
        <v>284</v>
      </c>
      <c r="D279" s="2"/>
      <c r="E279" s="2"/>
      <c r="F279" s="2"/>
      <c r="G279" s="2"/>
      <c r="H279" s="2" t="s">
        <v>202</v>
      </c>
      <c r="I279" s="9" t="s">
        <v>303</v>
      </c>
      <c r="J279" s="2">
        <v>345</v>
      </c>
      <c r="K279" s="2"/>
      <c r="L279" s="2"/>
      <c r="M279" s="22" t="s">
        <v>353</v>
      </c>
      <c r="N279" s="22"/>
      <c r="O279" s="2">
        <v>90</v>
      </c>
      <c r="P279" s="2"/>
      <c r="Q279" s="2"/>
      <c r="R279" s="1">
        <v>1</v>
      </c>
      <c r="S279" s="1">
        <v>1</v>
      </c>
      <c r="T279" s="1"/>
      <c r="U279" s="18" t="s">
        <v>13</v>
      </c>
      <c r="V279" s="18">
        <v>14</v>
      </c>
      <c r="W279" s="1"/>
      <c r="X279" s="26"/>
      <c r="Y279" s="22">
        <f>O279*R279</f>
        <v>90</v>
      </c>
      <c r="Z279" s="26"/>
      <c r="AA279" s="20" t="s">
        <v>354</v>
      </c>
      <c r="AB279" s="11"/>
    </row>
    <row r="280" spans="1:28" s="12" customFormat="1" ht="29.25" customHeight="1">
      <c r="A280" s="26"/>
      <c r="B280" s="2" t="s">
        <v>282</v>
      </c>
      <c r="C280" s="2" t="s">
        <v>190</v>
      </c>
      <c r="D280" s="2"/>
      <c r="E280" s="2"/>
      <c r="F280" s="2"/>
      <c r="G280" s="2"/>
      <c r="H280" s="2" t="s">
        <v>202</v>
      </c>
      <c r="I280" s="9" t="s">
        <v>303</v>
      </c>
      <c r="J280" s="2">
        <v>96</v>
      </c>
      <c r="K280" s="14" t="s">
        <v>883</v>
      </c>
      <c r="L280" s="2"/>
      <c r="M280" s="22" t="s">
        <v>353</v>
      </c>
      <c r="N280" s="22"/>
      <c r="O280" s="2">
        <v>30</v>
      </c>
      <c r="P280" s="2"/>
      <c r="Q280" s="2"/>
      <c r="R280" s="1">
        <v>1</v>
      </c>
      <c r="S280" s="1">
        <v>1</v>
      </c>
      <c r="T280" s="1"/>
      <c r="U280" s="18" t="s">
        <v>13</v>
      </c>
      <c r="V280" s="18">
        <v>14</v>
      </c>
      <c r="W280" s="1" t="s">
        <v>364</v>
      </c>
      <c r="X280" s="26"/>
      <c r="Y280" s="22">
        <f>O280*R280</f>
        <v>30</v>
      </c>
      <c r="Z280" s="26"/>
      <c r="AA280" s="20" t="s">
        <v>354</v>
      </c>
      <c r="AB280" s="11"/>
    </row>
    <row r="281" spans="1:28" s="12" customFormat="1" ht="29.25" customHeight="1">
      <c r="A281" s="26"/>
      <c r="B281" s="2" t="s">
        <v>66</v>
      </c>
      <c r="C281" s="2" t="s">
        <v>65</v>
      </c>
      <c r="D281" s="2"/>
      <c r="E281" s="2"/>
      <c r="F281" s="2"/>
      <c r="G281" s="2"/>
      <c r="H281" s="2" t="s">
        <v>202</v>
      </c>
      <c r="I281" s="9" t="s">
        <v>303</v>
      </c>
      <c r="J281" s="2">
        <v>680</v>
      </c>
      <c r="K281" s="2"/>
      <c r="L281" s="2">
        <v>616.51</v>
      </c>
      <c r="M281" s="22" t="s">
        <v>353</v>
      </c>
      <c r="N281" s="22"/>
      <c r="O281" s="2">
        <v>180</v>
      </c>
      <c r="P281" s="2"/>
      <c r="Q281" s="2"/>
      <c r="R281" s="1">
        <v>1</v>
      </c>
      <c r="S281" s="1">
        <v>1</v>
      </c>
      <c r="T281" s="1"/>
      <c r="U281" s="18" t="s">
        <v>13</v>
      </c>
      <c r="V281" s="18">
        <v>14</v>
      </c>
      <c r="W281" s="1"/>
      <c r="X281" s="26"/>
      <c r="Y281" s="22">
        <f>O281*R281</f>
        <v>180</v>
      </c>
      <c r="Z281" s="26"/>
      <c r="AA281" s="20" t="s">
        <v>354</v>
      </c>
      <c r="AB281" s="11"/>
    </row>
    <row r="282" spans="1:28" s="12" customFormat="1" ht="29.25" customHeight="1">
      <c r="A282" s="26"/>
      <c r="B282" s="2" t="s">
        <v>233</v>
      </c>
      <c r="C282" s="2" t="s">
        <v>17</v>
      </c>
      <c r="D282" s="2" t="s">
        <v>824</v>
      </c>
      <c r="E282" s="2"/>
      <c r="F282" s="2"/>
      <c r="G282" s="2"/>
      <c r="H282" s="2" t="s">
        <v>202</v>
      </c>
      <c r="I282" s="9" t="s">
        <v>303</v>
      </c>
      <c r="J282" s="2">
        <v>1356</v>
      </c>
      <c r="K282" s="2"/>
      <c r="L282" s="2"/>
      <c r="M282" s="22" t="s">
        <v>353</v>
      </c>
      <c r="N282" s="22"/>
      <c r="O282" s="2">
        <v>640</v>
      </c>
      <c r="P282" s="2"/>
      <c r="Q282" s="2"/>
      <c r="R282" s="1">
        <v>1</v>
      </c>
      <c r="S282" s="1">
        <v>1</v>
      </c>
      <c r="T282" s="1"/>
      <c r="U282" s="18" t="s">
        <v>13</v>
      </c>
      <c r="V282" s="18">
        <v>14</v>
      </c>
      <c r="W282" s="1"/>
      <c r="X282" s="26"/>
      <c r="Y282" s="22">
        <f>O282*R282</f>
        <v>640</v>
      </c>
      <c r="Z282" s="26"/>
      <c r="AA282" s="20" t="s">
        <v>354</v>
      </c>
      <c r="AB282" s="11"/>
    </row>
    <row r="283" spans="1:28" s="12" customFormat="1" ht="29.25" customHeight="1">
      <c r="A283" s="26"/>
      <c r="B283" s="2" t="s">
        <v>169</v>
      </c>
      <c r="C283" s="2" t="s">
        <v>163</v>
      </c>
      <c r="D283" s="2"/>
      <c r="E283" s="2"/>
      <c r="F283" s="2"/>
      <c r="G283" s="2"/>
      <c r="H283" s="2" t="s">
        <v>202</v>
      </c>
      <c r="I283" s="9" t="s">
        <v>303</v>
      </c>
      <c r="J283" s="2">
        <v>228</v>
      </c>
      <c r="K283" s="2"/>
      <c r="L283" s="2"/>
      <c r="M283" s="22" t="s">
        <v>353</v>
      </c>
      <c r="N283" s="22"/>
      <c r="O283" s="2">
        <v>120</v>
      </c>
      <c r="P283" s="2"/>
      <c r="Q283" s="2"/>
      <c r="R283" s="1">
        <v>1</v>
      </c>
      <c r="S283" s="1">
        <v>1</v>
      </c>
      <c r="T283" s="1"/>
      <c r="U283" s="18" t="s">
        <v>13</v>
      </c>
      <c r="V283" s="18">
        <v>14</v>
      </c>
      <c r="W283" s="1"/>
      <c r="X283" s="26"/>
      <c r="Y283" s="22">
        <f>O283*R283</f>
        <v>120</v>
      </c>
      <c r="Z283" s="26"/>
      <c r="AA283" s="20" t="s">
        <v>354</v>
      </c>
      <c r="AB283" s="11"/>
    </row>
    <row r="284" spans="1:28" s="12" customFormat="1" ht="29.25" customHeight="1">
      <c r="A284" s="26"/>
      <c r="B284" s="2" t="s">
        <v>537</v>
      </c>
      <c r="C284" s="2" t="s">
        <v>313</v>
      </c>
      <c r="D284" s="2" t="s">
        <v>820</v>
      </c>
      <c r="E284" s="2"/>
      <c r="F284" s="2"/>
      <c r="G284" s="2"/>
      <c r="H284" s="2" t="s">
        <v>202</v>
      </c>
      <c r="I284" s="9" t="s">
        <v>303</v>
      </c>
      <c r="J284" s="2">
        <v>228</v>
      </c>
      <c r="K284" s="2"/>
      <c r="L284" s="2">
        <v>616.20000000000005</v>
      </c>
      <c r="M284" s="22" t="s">
        <v>353</v>
      </c>
      <c r="N284" s="22"/>
      <c r="O284" s="2">
        <v>65</v>
      </c>
      <c r="P284" s="2"/>
      <c r="Q284" s="2"/>
      <c r="R284" s="1">
        <v>1</v>
      </c>
      <c r="S284" s="1">
        <v>1</v>
      </c>
      <c r="T284" s="1"/>
      <c r="U284" s="18" t="s">
        <v>13</v>
      </c>
      <c r="V284" s="18">
        <v>14</v>
      </c>
      <c r="W284" s="1"/>
      <c r="X284" s="26"/>
      <c r="Y284" s="22">
        <f>O284*R284</f>
        <v>65</v>
      </c>
      <c r="Z284" s="26"/>
      <c r="AA284" s="20" t="s">
        <v>354</v>
      </c>
      <c r="AB284" s="11" t="s">
        <v>821</v>
      </c>
    </row>
    <row r="285" spans="1:28" s="12" customFormat="1" ht="29.25" customHeight="1">
      <c r="A285" s="26"/>
      <c r="B285" s="2" t="s">
        <v>538</v>
      </c>
      <c r="C285" s="2" t="s">
        <v>103</v>
      </c>
      <c r="D285" s="2"/>
      <c r="E285" s="2"/>
      <c r="F285" s="2"/>
      <c r="G285" s="2"/>
      <c r="H285" s="2" t="s">
        <v>202</v>
      </c>
      <c r="I285" s="9" t="s">
        <v>303</v>
      </c>
      <c r="J285" s="2">
        <v>304</v>
      </c>
      <c r="K285" s="2"/>
      <c r="L285" s="2">
        <v>616.20000000000005</v>
      </c>
      <c r="M285" s="22" t="s">
        <v>353</v>
      </c>
      <c r="N285" s="22"/>
      <c r="O285" s="2">
        <v>155</v>
      </c>
      <c r="P285" s="2"/>
      <c r="Q285" s="2"/>
      <c r="R285" s="13">
        <v>2</v>
      </c>
      <c r="S285" s="13">
        <v>2</v>
      </c>
      <c r="T285" s="13"/>
      <c r="U285" s="18" t="s">
        <v>13</v>
      </c>
      <c r="V285" s="18">
        <v>14</v>
      </c>
      <c r="W285" s="1"/>
      <c r="X285" s="26"/>
      <c r="Y285" s="22">
        <f>O285*R285</f>
        <v>310</v>
      </c>
      <c r="Z285" s="26"/>
      <c r="AA285" s="20" t="s">
        <v>354</v>
      </c>
      <c r="AB285" s="11" t="s">
        <v>827</v>
      </c>
    </row>
    <row r="286" spans="1:28" s="12" customFormat="1" ht="29.25" customHeight="1">
      <c r="A286" s="26"/>
      <c r="B286" s="2" t="s">
        <v>891</v>
      </c>
      <c r="C286" s="2" t="s">
        <v>313</v>
      </c>
      <c r="D286" s="2" t="s">
        <v>892</v>
      </c>
      <c r="E286" s="2"/>
      <c r="F286" s="2"/>
      <c r="G286" s="2"/>
      <c r="H286" s="2" t="s">
        <v>202</v>
      </c>
      <c r="I286" s="9" t="s">
        <v>303</v>
      </c>
      <c r="J286" s="2">
        <v>264</v>
      </c>
      <c r="K286" s="2" t="s">
        <v>893</v>
      </c>
      <c r="L286" s="2">
        <v>616.20000000000005</v>
      </c>
      <c r="M286" s="22" t="s">
        <v>353</v>
      </c>
      <c r="N286" s="22"/>
      <c r="O286" s="2">
        <v>130</v>
      </c>
      <c r="P286" s="2"/>
      <c r="Q286" s="2"/>
      <c r="R286" s="13">
        <v>1</v>
      </c>
      <c r="S286" s="13">
        <v>1</v>
      </c>
      <c r="T286" s="13"/>
      <c r="U286" s="18" t="s">
        <v>13</v>
      </c>
      <c r="V286" s="18">
        <v>14</v>
      </c>
      <c r="W286" s="1" t="s">
        <v>364</v>
      </c>
      <c r="X286" s="26"/>
      <c r="Y286" s="22">
        <f>O286*R286</f>
        <v>130</v>
      </c>
      <c r="Z286" s="26"/>
      <c r="AA286" s="20"/>
      <c r="AB286" s="11" t="s">
        <v>894</v>
      </c>
    </row>
    <row r="287" spans="1:28" s="12" customFormat="1" ht="29.25" customHeight="1">
      <c r="A287" s="26"/>
      <c r="B287" s="2" t="s">
        <v>283</v>
      </c>
      <c r="C287" s="2" t="s">
        <v>26</v>
      </c>
      <c r="D287" s="2"/>
      <c r="E287" s="2"/>
      <c r="F287" s="2"/>
      <c r="G287" s="2"/>
      <c r="H287" s="2" t="s">
        <v>202</v>
      </c>
      <c r="I287" s="9" t="s">
        <v>303</v>
      </c>
      <c r="J287" s="2">
        <v>326</v>
      </c>
      <c r="K287" s="2"/>
      <c r="L287" s="2"/>
      <c r="M287" s="22" t="s">
        <v>353</v>
      </c>
      <c r="N287" s="22"/>
      <c r="O287" s="2">
        <v>165</v>
      </c>
      <c r="P287" s="2"/>
      <c r="Q287" s="2"/>
      <c r="R287" s="1">
        <v>2</v>
      </c>
      <c r="S287" s="1">
        <v>2</v>
      </c>
      <c r="T287" s="1"/>
      <c r="U287" s="18" t="s">
        <v>13</v>
      </c>
      <c r="V287" s="18">
        <v>14</v>
      </c>
      <c r="W287" s="1"/>
      <c r="X287" s="26"/>
      <c r="Y287" s="22">
        <f>O287*R287</f>
        <v>330</v>
      </c>
      <c r="Z287" s="26"/>
      <c r="AA287" s="20" t="s">
        <v>354</v>
      </c>
      <c r="AB287" s="11"/>
    </row>
    <row r="288" spans="1:28" s="12" customFormat="1" ht="29.25" customHeight="1">
      <c r="A288" s="26"/>
      <c r="B288" s="2" t="s">
        <v>539</v>
      </c>
      <c r="C288" s="2" t="s">
        <v>161</v>
      </c>
      <c r="D288" s="2"/>
      <c r="E288" s="2"/>
      <c r="F288" s="2"/>
      <c r="G288" s="2"/>
      <c r="H288" s="2" t="s">
        <v>817</v>
      </c>
      <c r="I288" s="9" t="s">
        <v>303</v>
      </c>
      <c r="J288" s="2">
        <v>48</v>
      </c>
      <c r="K288" s="2"/>
      <c r="L288" s="2">
        <v>616.23800000000006</v>
      </c>
      <c r="M288" s="22" t="s">
        <v>353</v>
      </c>
      <c r="N288" s="22"/>
      <c r="O288" s="2">
        <v>30</v>
      </c>
      <c r="P288" s="2"/>
      <c r="Q288" s="2"/>
      <c r="R288" s="1">
        <v>5</v>
      </c>
      <c r="S288" s="1">
        <v>5</v>
      </c>
      <c r="T288" s="1"/>
      <c r="U288" s="18" t="s">
        <v>13</v>
      </c>
      <c r="V288" s="18">
        <v>14</v>
      </c>
      <c r="W288" s="1"/>
      <c r="X288" s="26"/>
      <c r="Y288" s="22">
        <f>O288*R288</f>
        <v>150</v>
      </c>
      <c r="Z288" s="26"/>
      <c r="AA288" s="20" t="s">
        <v>354</v>
      </c>
      <c r="AB288" s="11" t="s">
        <v>818</v>
      </c>
    </row>
    <row r="289" spans="1:28" s="12" customFormat="1" ht="29.25" customHeight="1">
      <c r="A289" s="26"/>
      <c r="B289" s="2" t="s">
        <v>540</v>
      </c>
      <c r="C289" s="2" t="s">
        <v>162</v>
      </c>
      <c r="D289" s="2" t="s">
        <v>208</v>
      </c>
      <c r="E289" s="2"/>
      <c r="F289" s="2"/>
      <c r="G289" s="2"/>
      <c r="H289" s="2" t="s">
        <v>849</v>
      </c>
      <c r="I289" s="9" t="s">
        <v>303</v>
      </c>
      <c r="J289" s="2">
        <v>80</v>
      </c>
      <c r="K289" s="2" t="s">
        <v>847</v>
      </c>
      <c r="L289" s="2">
        <v>616.33199999999999</v>
      </c>
      <c r="M289" s="22" t="s">
        <v>353</v>
      </c>
      <c r="N289" s="22"/>
      <c r="O289" s="2">
        <v>25</v>
      </c>
      <c r="P289" s="2"/>
      <c r="Q289" s="2"/>
      <c r="R289" s="13">
        <v>1</v>
      </c>
      <c r="S289" s="13">
        <v>1</v>
      </c>
      <c r="T289" s="13"/>
      <c r="U289" s="18" t="s">
        <v>13</v>
      </c>
      <c r="V289" s="18">
        <v>14</v>
      </c>
      <c r="W289" s="1" t="s">
        <v>364</v>
      </c>
      <c r="X289" s="26"/>
      <c r="Y289" s="22">
        <f>O289*R289</f>
        <v>25</v>
      </c>
      <c r="Z289" s="26"/>
      <c r="AA289" s="20" t="s">
        <v>354</v>
      </c>
      <c r="AB289" s="11" t="s">
        <v>850</v>
      </c>
    </row>
    <row r="290" spans="1:28" s="12" customFormat="1" ht="29.25" customHeight="1">
      <c r="A290" s="26"/>
      <c r="B290" s="2" t="s">
        <v>541</v>
      </c>
      <c r="C290" s="2" t="s">
        <v>133</v>
      </c>
      <c r="D290" s="2" t="s">
        <v>208</v>
      </c>
      <c r="E290" s="2"/>
      <c r="F290" s="2"/>
      <c r="G290" s="2"/>
      <c r="H290" s="2" t="s">
        <v>871</v>
      </c>
      <c r="I290" s="9" t="s">
        <v>303</v>
      </c>
      <c r="J290" s="2">
        <v>80</v>
      </c>
      <c r="K290" s="2"/>
      <c r="L290" s="2">
        <v>616.12300000000005</v>
      </c>
      <c r="M290" s="22" t="s">
        <v>353</v>
      </c>
      <c r="N290" s="22"/>
      <c r="O290" s="2">
        <v>45</v>
      </c>
      <c r="P290" s="2"/>
      <c r="Q290" s="2"/>
      <c r="R290" s="13">
        <v>1</v>
      </c>
      <c r="S290" s="13">
        <v>1</v>
      </c>
      <c r="T290" s="13"/>
      <c r="U290" s="18" t="s">
        <v>13</v>
      </c>
      <c r="V290" s="18">
        <v>14</v>
      </c>
      <c r="W290" s="1"/>
      <c r="X290" s="26"/>
      <c r="Y290" s="22">
        <f>O290*R290</f>
        <v>45</v>
      </c>
      <c r="Z290" s="26"/>
      <c r="AA290" s="20" t="s">
        <v>354</v>
      </c>
      <c r="AB290" s="11" t="s">
        <v>838</v>
      </c>
    </row>
    <row r="291" spans="1:28" s="12" customFormat="1" ht="29.25" customHeight="1">
      <c r="A291" s="26"/>
      <c r="B291" s="2" t="s">
        <v>542</v>
      </c>
      <c r="C291" s="2" t="s">
        <v>870</v>
      </c>
      <c r="D291" s="2" t="s">
        <v>208</v>
      </c>
      <c r="E291" s="2"/>
      <c r="F291" s="2"/>
      <c r="G291" s="2"/>
      <c r="H291" s="2" t="s">
        <v>876</v>
      </c>
      <c r="I291" s="9" t="s">
        <v>303</v>
      </c>
      <c r="J291" s="2">
        <v>80</v>
      </c>
      <c r="K291" s="2" t="s">
        <v>877</v>
      </c>
      <c r="L291" s="2">
        <v>618.17499999999995</v>
      </c>
      <c r="M291" s="22" t="s">
        <v>353</v>
      </c>
      <c r="N291" s="22"/>
      <c r="O291" s="2">
        <v>25</v>
      </c>
      <c r="P291" s="2"/>
      <c r="Q291" s="2"/>
      <c r="R291" s="13">
        <v>1</v>
      </c>
      <c r="S291" s="13">
        <v>1</v>
      </c>
      <c r="T291" s="13"/>
      <c r="U291" s="18" t="s">
        <v>13</v>
      </c>
      <c r="V291" s="18">
        <v>14</v>
      </c>
      <c r="W291" s="1" t="s">
        <v>364</v>
      </c>
      <c r="X291" s="26"/>
      <c r="Y291" s="22">
        <f>O291*R291</f>
        <v>25</v>
      </c>
      <c r="Z291" s="26"/>
      <c r="AA291" s="20" t="s">
        <v>354</v>
      </c>
      <c r="AB291" s="11" t="s">
        <v>878</v>
      </c>
    </row>
    <row r="292" spans="1:28" s="12" customFormat="1" ht="29.25" customHeight="1">
      <c r="A292" s="26"/>
      <c r="B292" s="2" t="s">
        <v>543</v>
      </c>
      <c r="C292" s="2" t="s">
        <v>133</v>
      </c>
      <c r="D292" s="2" t="s">
        <v>208</v>
      </c>
      <c r="E292" s="2"/>
      <c r="F292" s="2"/>
      <c r="G292" s="2"/>
      <c r="H292" s="2" t="s">
        <v>872</v>
      </c>
      <c r="I292" s="9" t="s">
        <v>303</v>
      </c>
      <c r="J292" s="2">
        <v>80</v>
      </c>
      <c r="K292" s="2"/>
      <c r="L292" s="2">
        <v>616.83399999999995</v>
      </c>
      <c r="M292" s="22" t="s">
        <v>353</v>
      </c>
      <c r="N292" s="22"/>
      <c r="O292" s="2">
        <v>45</v>
      </c>
      <c r="P292" s="2"/>
      <c r="Q292" s="2"/>
      <c r="R292" s="13">
        <v>1</v>
      </c>
      <c r="S292" s="13">
        <v>1</v>
      </c>
      <c r="T292" s="13"/>
      <c r="U292" s="18" t="s">
        <v>13</v>
      </c>
      <c r="V292" s="18">
        <v>14</v>
      </c>
      <c r="W292" s="1"/>
      <c r="X292" s="26"/>
      <c r="Y292" s="22">
        <f>O292*R292</f>
        <v>45</v>
      </c>
      <c r="Z292" s="26"/>
      <c r="AA292" s="20" t="s">
        <v>354</v>
      </c>
      <c r="AB292" s="11" t="s">
        <v>844</v>
      </c>
    </row>
    <row r="293" spans="1:28" s="12" customFormat="1" ht="29.25" customHeight="1">
      <c r="A293" s="26"/>
      <c r="B293" s="2" t="s">
        <v>544</v>
      </c>
      <c r="C293" s="2" t="s">
        <v>133</v>
      </c>
      <c r="D293" s="2" t="s">
        <v>208</v>
      </c>
      <c r="E293" s="2"/>
      <c r="F293" s="2"/>
      <c r="G293" s="2"/>
      <c r="H293" s="2" t="s">
        <v>871</v>
      </c>
      <c r="I293" s="9" t="s">
        <v>303</v>
      </c>
      <c r="J293" s="2">
        <v>80</v>
      </c>
      <c r="K293" s="2"/>
      <c r="L293" s="2">
        <v>616.97</v>
      </c>
      <c r="M293" s="22" t="s">
        <v>353</v>
      </c>
      <c r="N293" s="22"/>
      <c r="O293" s="2">
        <v>45</v>
      </c>
      <c r="P293" s="2"/>
      <c r="Q293" s="2"/>
      <c r="R293" s="13">
        <v>1</v>
      </c>
      <c r="S293" s="13">
        <v>1</v>
      </c>
      <c r="T293" s="13"/>
      <c r="U293" s="18" t="s">
        <v>13</v>
      </c>
      <c r="V293" s="18">
        <v>14</v>
      </c>
      <c r="W293" s="1"/>
      <c r="X293" s="26"/>
      <c r="Y293" s="22">
        <f>O293*R293</f>
        <v>45</v>
      </c>
      <c r="Z293" s="26"/>
      <c r="AA293" s="20" t="s">
        <v>354</v>
      </c>
      <c r="AB293" s="11" t="s">
        <v>839</v>
      </c>
    </row>
    <row r="294" spans="1:28" s="12" customFormat="1" ht="29.25" customHeight="1">
      <c r="A294" s="26"/>
      <c r="B294" s="2" t="s">
        <v>545</v>
      </c>
      <c r="C294" s="2" t="s">
        <v>133</v>
      </c>
      <c r="D294" s="2" t="s">
        <v>208</v>
      </c>
      <c r="E294" s="2"/>
      <c r="F294" s="2"/>
      <c r="G294" s="2"/>
      <c r="H294" s="2" t="s">
        <v>873</v>
      </c>
      <c r="I294" s="9" t="s">
        <v>303</v>
      </c>
      <c r="J294" s="2">
        <v>80</v>
      </c>
      <c r="K294" s="2"/>
      <c r="L294" s="2">
        <v>616.920075</v>
      </c>
      <c r="M294" s="22" t="s">
        <v>353</v>
      </c>
      <c r="N294" s="22"/>
      <c r="O294" s="2">
        <v>45</v>
      </c>
      <c r="P294" s="2"/>
      <c r="Q294" s="2"/>
      <c r="R294" s="13">
        <v>1</v>
      </c>
      <c r="S294" s="13">
        <v>1</v>
      </c>
      <c r="T294" s="13"/>
      <c r="U294" s="18" t="s">
        <v>13</v>
      </c>
      <c r="V294" s="18">
        <v>14</v>
      </c>
      <c r="W294" s="1"/>
      <c r="X294" s="26"/>
      <c r="Y294" s="22">
        <f>O294*R294</f>
        <v>45</v>
      </c>
      <c r="Z294" s="26"/>
      <c r="AA294" s="20" t="s">
        <v>354</v>
      </c>
      <c r="AB294" s="11" t="s">
        <v>837</v>
      </c>
    </row>
    <row r="295" spans="1:28" s="12" customFormat="1" ht="29.25" customHeight="1">
      <c r="A295" s="26"/>
      <c r="B295" s="2" t="s">
        <v>546</v>
      </c>
      <c r="C295" s="2" t="s">
        <v>879</v>
      </c>
      <c r="D295" s="2" t="s">
        <v>208</v>
      </c>
      <c r="E295" s="2"/>
      <c r="F295" s="2"/>
      <c r="G295" s="2"/>
      <c r="H295" s="2" t="s">
        <v>880</v>
      </c>
      <c r="I295" s="9" t="s">
        <v>303</v>
      </c>
      <c r="J295" s="2">
        <v>80</v>
      </c>
      <c r="K295" s="2" t="s">
        <v>881</v>
      </c>
      <c r="L295" s="2">
        <v>616.99400000000003</v>
      </c>
      <c r="M295" s="22" t="s">
        <v>353</v>
      </c>
      <c r="N295" s="22"/>
      <c r="O295" s="2">
        <v>25</v>
      </c>
      <c r="P295" s="2"/>
      <c r="Q295" s="2"/>
      <c r="R295" s="13">
        <v>1</v>
      </c>
      <c r="S295" s="13">
        <v>1</v>
      </c>
      <c r="T295" s="13"/>
      <c r="U295" s="18" t="s">
        <v>13</v>
      </c>
      <c r="V295" s="18">
        <v>14</v>
      </c>
      <c r="W295" s="1" t="s">
        <v>364</v>
      </c>
      <c r="X295" s="26"/>
      <c r="Y295" s="22">
        <f>O295*R295</f>
        <v>25</v>
      </c>
      <c r="Z295" s="26"/>
      <c r="AA295" s="20" t="s">
        <v>354</v>
      </c>
      <c r="AB295" s="11" t="s">
        <v>882</v>
      </c>
    </row>
    <row r="296" spans="1:28" s="12" customFormat="1" ht="29.25" customHeight="1">
      <c r="A296" s="26"/>
      <c r="B296" s="2" t="s">
        <v>547</v>
      </c>
      <c r="C296" s="2" t="s">
        <v>133</v>
      </c>
      <c r="D296" s="2" t="s">
        <v>208</v>
      </c>
      <c r="E296" s="2"/>
      <c r="F296" s="2"/>
      <c r="G296" s="2"/>
      <c r="H296" s="2" t="s">
        <v>867</v>
      </c>
      <c r="I296" s="9" t="s">
        <v>303</v>
      </c>
      <c r="J296" s="2">
        <v>80</v>
      </c>
      <c r="K296" s="2"/>
      <c r="L296" s="2">
        <v>616.20000000000005</v>
      </c>
      <c r="M296" s="22" t="s">
        <v>353</v>
      </c>
      <c r="N296" s="22"/>
      <c r="O296" s="2">
        <v>45</v>
      </c>
      <c r="P296" s="2"/>
      <c r="Q296" s="2"/>
      <c r="R296" s="13">
        <v>1</v>
      </c>
      <c r="S296" s="13">
        <v>1</v>
      </c>
      <c r="T296" s="13"/>
      <c r="U296" s="18" t="s">
        <v>13</v>
      </c>
      <c r="V296" s="18">
        <v>14</v>
      </c>
      <c r="W296" s="1"/>
      <c r="X296" s="26"/>
      <c r="Y296" s="22">
        <f>O296*R296</f>
        <v>45</v>
      </c>
      <c r="Z296" s="26"/>
      <c r="AA296" s="20" t="s">
        <v>354</v>
      </c>
      <c r="AB296" s="11" t="s">
        <v>841</v>
      </c>
    </row>
    <row r="297" spans="1:28" s="12" customFormat="1" ht="29.25" customHeight="1">
      <c r="A297" s="26"/>
      <c r="B297" s="2" t="s">
        <v>897</v>
      </c>
      <c r="C297" s="2" t="s">
        <v>898</v>
      </c>
      <c r="D297" s="2"/>
      <c r="E297" s="2"/>
      <c r="F297" s="2"/>
      <c r="G297" s="2"/>
      <c r="H297" s="2" t="s">
        <v>809</v>
      </c>
      <c r="I297" s="9" t="s">
        <v>303</v>
      </c>
      <c r="J297" s="2">
        <v>48</v>
      </c>
      <c r="K297" s="2" t="s">
        <v>866</v>
      </c>
      <c r="L297" s="2">
        <v>616.84910000000002</v>
      </c>
      <c r="M297" s="22" t="s">
        <v>353</v>
      </c>
      <c r="N297" s="22"/>
      <c r="O297" s="2">
        <v>15</v>
      </c>
      <c r="P297" s="2"/>
      <c r="Q297" s="2"/>
      <c r="R297" s="13">
        <v>1</v>
      </c>
      <c r="S297" s="13">
        <v>1</v>
      </c>
      <c r="T297" s="13"/>
      <c r="U297" s="18" t="s">
        <v>13</v>
      </c>
      <c r="V297" s="18">
        <v>14</v>
      </c>
      <c r="W297" s="1" t="s">
        <v>364</v>
      </c>
      <c r="X297" s="26"/>
      <c r="Y297" s="22">
        <f>O297*R297</f>
        <v>15</v>
      </c>
      <c r="Z297" s="26"/>
      <c r="AA297" s="20" t="s">
        <v>354</v>
      </c>
      <c r="AB297" s="11" t="s">
        <v>899</v>
      </c>
    </row>
    <row r="298" spans="1:28" s="12" customFormat="1" ht="29.25" customHeight="1">
      <c r="A298" s="26"/>
      <c r="B298" s="2" t="s">
        <v>548</v>
      </c>
      <c r="C298" s="2" t="s">
        <v>133</v>
      </c>
      <c r="D298" s="2" t="s">
        <v>208</v>
      </c>
      <c r="E298" s="2"/>
      <c r="F298" s="2"/>
      <c r="G298" s="2"/>
      <c r="H298" s="2" t="s">
        <v>874</v>
      </c>
      <c r="I298" s="9" t="s">
        <v>303</v>
      </c>
      <c r="J298" s="2">
        <v>80</v>
      </c>
      <c r="K298" s="2"/>
      <c r="L298" s="2">
        <v>616.85699999999997</v>
      </c>
      <c r="M298" s="22" t="s">
        <v>353</v>
      </c>
      <c r="N298" s="22"/>
      <c r="O298" s="2">
        <v>45</v>
      </c>
      <c r="P298" s="2"/>
      <c r="Q298" s="2"/>
      <c r="R298" s="13">
        <v>1</v>
      </c>
      <c r="S298" s="13">
        <v>1</v>
      </c>
      <c r="T298" s="13"/>
      <c r="U298" s="18" t="s">
        <v>13</v>
      </c>
      <c r="V298" s="18">
        <v>14</v>
      </c>
      <c r="W298" s="1"/>
      <c r="X298" s="26"/>
      <c r="Y298" s="22">
        <f>O298*R298</f>
        <v>45</v>
      </c>
      <c r="Z298" s="26"/>
      <c r="AA298" s="20" t="s">
        <v>354</v>
      </c>
      <c r="AB298" s="11" t="s">
        <v>842</v>
      </c>
    </row>
    <row r="299" spans="1:28" s="12" customFormat="1" ht="29.25" customHeight="1">
      <c r="A299" s="26"/>
      <c r="B299" s="2" t="s">
        <v>549</v>
      </c>
      <c r="C299" s="2" t="s">
        <v>150</v>
      </c>
      <c r="D299" s="2" t="s">
        <v>208</v>
      </c>
      <c r="E299" s="2"/>
      <c r="F299" s="2"/>
      <c r="G299" s="2"/>
      <c r="H299" s="2" t="s">
        <v>875</v>
      </c>
      <c r="I299" s="9" t="s">
        <v>303</v>
      </c>
      <c r="J299" s="2">
        <v>80</v>
      </c>
      <c r="K299" s="2" t="s">
        <v>868</v>
      </c>
      <c r="L299" s="2">
        <v>616.65</v>
      </c>
      <c r="M299" s="22" t="s">
        <v>353</v>
      </c>
      <c r="N299" s="22"/>
      <c r="O299" s="2">
        <v>25</v>
      </c>
      <c r="P299" s="2"/>
      <c r="Q299" s="2"/>
      <c r="R299" s="13">
        <v>1</v>
      </c>
      <c r="S299" s="13">
        <v>1</v>
      </c>
      <c r="T299" s="13"/>
      <c r="U299" s="18" t="s">
        <v>13</v>
      </c>
      <c r="V299" s="18">
        <v>14</v>
      </c>
      <c r="W299" s="1" t="s">
        <v>364</v>
      </c>
      <c r="X299" s="26"/>
      <c r="Y299" s="22">
        <f>O299*R299</f>
        <v>25</v>
      </c>
      <c r="Z299" s="26"/>
      <c r="AA299" s="20" t="s">
        <v>354</v>
      </c>
      <c r="AB299" s="11" t="s">
        <v>869</v>
      </c>
    </row>
    <row r="300" spans="1:28" s="12" customFormat="1" ht="29.25" customHeight="1">
      <c r="A300" s="26"/>
      <c r="B300" s="2" t="s">
        <v>550</v>
      </c>
      <c r="C300" s="2" t="s">
        <v>133</v>
      </c>
      <c r="D300" s="2" t="s">
        <v>208</v>
      </c>
      <c r="E300" s="2"/>
      <c r="F300" s="2"/>
      <c r="G300" s="2"/>
      <c r="H300" s="2" t="s">
        <v>867</v>
      </c>
      <c r="I300" s="9" t="s">
        <v>303</v>
      </c>
      <c r="J300" s="2">
        <v>80</v>
      </c>
      <c r="K300" s="2"/>
      <c r="L300" s="2">
        <v>616.72199999999998</v>
      </c>
      <c r="M300" s="22" t="s">
        <v>353</v>
      </c>
      <c r="N300" s="22"/>
      <c r="O300" s="2">
        <v>45</v>
      </c>
      <c r="P300" s="2"/>
      <c r="Q300" s="2"/>
      <c r="R300" s="13">
        <v>1</v>
      </c>
      <c r="S300" s="13">
        <v>1</v>
      </c>
      <c r="T300" s="13"/>
      <c r="U300" s="18" t="s">
        <v>13</v>
      </c>
      <c r="V300" s="18">
        <v>14</v>
      </c>
      <c r="W300" s="1"/>
      <c r="X300" s="26"/>
      <c r="Y300" s="22">
        <f>O300*R300</f>
        <v>45</v>
      </c>
      <c r="Z300" s="26"/>
      <c r="AA300" s="20" t="s">
        <v>354</v>
      </c>
      <c r="AB300" s="11" t="s">
        <v>843</v>
      </c>
    </row>
    <row r="301" spans="1:28" s="12" customFormat="1" ht="29.25" customHeight="1">
      <c r="A301" s="26"/>
      <c r="B301" s="2" t="s">
        <v>551</v>
      </c>
      <c r="C301" s="2" t="s">
        <v>852</v>
      </c>
      <c r="D301" s="2" t="s">
        <v>208</v>
      </c>
      <c r="E301" s="2"/>
      <c r="F301" s="2"/>
      <c r="G301" s="2"/>
      <c r="H301" s="2" t="s">
        <v>849</v>
      </c>
      <c r="I301" s="9" t="s">
        <v>303</v>
      </c>
      <c r="J301" s="2">
        <v>80</v>
      </c>
      <c r="K301" s="2" t="s">
        <v>853</v>
      </c>
      <c r="L301" s="2">
        <v>616.97919999999999</v>
      </c>
      <c r="M301" s="22" t="s">
        <v>353</v>
      </c>
      <c r="N301" s="22"/>
      <c r="O301" s="2">
        <v>25</v>
      </c>
      <c r="P301" s="2"/>
      <c r="Q301" s="2"/>
      <c r="R301" s="13">
        <v>1</v>
      </c>
      <c r="S301" s="13">
        <v>1</v>
      </c>
      <c r="T301" s="13"/>
      <c r="U301" s="18" t="s">
        <v>13</v>
      </c>
      <c r="V301" s="18">
        <v>14</v>
      </c>
      <c r="W301" s="1" t="s">
        <v>364</v>
      </c>
      <c r="X301" s="26"/>
      <c r="Y301" s="22">
        <f>O301*R301</f>
        <v>25</v>
      </c>
      <c r="Z301" s="26"/>
      <c r="AA301" s="20" t="s">
        <v>354</v>
      </c>
      <c r="AB301" s="11" t="s">
        <v>854</v>
      </c>
    </row>
    <row r="302" spans="1:28" s="12" customFormat="1" ht="29.25" customHeight="1">
      <c r="A302" s="26"/>
      <c r="B302" s="2" t="s">
        <v>552</v>
      </c>
      <c r="C302" s="2" t="s">
        <v>133</v>
      </c>
      <c r="D302" s="2" t="s">
        <v>208</v>
      </c>
      <c r="E302" s="2"/>
      <c r="F302" s="2"/>
      <c r="G302" s="2"/>
      <c r="H302" s="2" t="s">
        <v>840</v>
      </c>
      <c r="I302" s="9" t="s">
        <v>303</v>
      </c>
      <c r="J302" s="2">
        <v>80</v>
      </c>
      <c r="K302" s="2"/>
      <c r="L302" s="2">
        <v>616.72</v>
      </c>
      <c r="M302" s="22" t="s">
        <v>353</v>
      </c>
      <c r="N302" s="22"/>
      <c r="O302" s="2">
        <v>45</v>
      </c>
      <c r="P302" s="2"/>
      <c r="Q302" s="2"/>
      <c r="R302" s="13">
        <v>1</v>
      </c>
      <c r="S302" s="13">
        <v>1</v>
      </c>
      <c r="T302" s="13"/>
      <c r="U302" s="18" t="s">
        <v>13</v>
      </c>
      <c r="V302" s="18">
        <v>14</v>
      </c>
      <c r="W302" s="1"/>
      <c r="X302" s="26"/>
      <c r="Y302" s="22">
        <f>O302*R302</f>
        <v>45</v>
      </c>
      <c r="Z302" s="26"/>
      <c r="AA302" s="20" t="s">
        <v>354</v>
      </c>
      <c r="AB302" s="11" t="s">
        <v>845</v>
      </c>
    </row>
    <row r="303" spans="1:28" s="12" customFormat="1" ht="29.25" customHeight="1">
      <c r="A303" s="26"/>
      <c r="B303" s="2" t="s">
        <v>855</v>
      </c>
      <c r="C303" s="2" t="s">
        <v>856</v>
      </c>
      <c r="D303" s="2" t="s">
        <v>208</v>
      </c>
      <c r="E303" s="2"/>
      <c r="F303" s="2"/>
      <c r="G303" s="2"/>
      <c r="H303" s="2"/>
      <c r="I303" s="9" t="s">
        <v>303</v>
      </c>
      <c r="J303" s="2">
        <v>80</v>
      </c>
      <c r="K303" s="2" t="s">
        <v>857</v>
      </c>
      <c r="L303" s="2">
        <v>616.53</v>
      </c>
      <c r="M303" s="22" t="s">
        <v>353</v>
      </c>
      <c r="N303" s="22"/>
      <c r="O303" s="2">
        <v>25</v>
      </c>
      <c r="P303" s="2"/>
      <c r="Q303" s="2"/>
      <c r="R303" s="13">
        <v>1</v>
      </c>
      <c r="S303" s="13">
        <v>1</v>
      </c>
      <c r="T303" s="13"/>
      <c r="U303" s="18" t="s">
        <v>13</v>
      </c>
      <c r="V303" s="18">
        <v>14</v>
      </c>
      <c r="W303" s="1" t="s">
        <v>364</v>
      </c>
      <c r="X303" s="26"/>
      <c r="Y303" s="22">
        <f>O303*R303</f>
        <v>25</v>
      </c>
      <c r="Z303" s="26"/>
      <c r="AA303" s="20" t="s">
        <v>354</v>
      </c>
      <c r="AB303" s="11" t="s">
        <v>858</v>
      </c>
    </row>
    <row r="304" spans="1:28" s="12" customFormat="1" ht="29.25" customHeight="1">
      <c r="A304" s="26"/>
      <c r="B304" s="2" t="s">
        <v>553</v>
      </c>
      <c r="C304" s="2" t="s">
        <v>133</v>
      </c>
      <c r="D304" s="2" t="s">
        <v>208</v>
      </c>
      <c r="E304" s="2"/>
      <c r="F304" s="2"/>
      <c r="G304" s="2"/>
      <c r="H304" s="2" t="s">
        <v>860</v>
      </c>
      <c r="I304" s="9" t="s">
        <v>303</v>
      </c>
      <c r="J304" s="2">
        <v>80</v>
      </c>
      <c r="K304" s="2"/>
      <c r="L304" s="2">
        <v>616.23800000000006</v>
      </c>
      <c r="M304" s="22" t="s">
        <v>353</v>
      </c>
      <c r="N304" s="22"/>
      <c r="O304" s="2">
        <v>45</v>
      </c>
      <c r="P304" s="2"/>
      <c r="Q304" s="2"/>
      <c r="R304" s="13">
        <v>1</v>
      </c>
      <c r="S304" s="13">
        <v>1</v>
      </c>
      <c r="T304" s="13"/>
      <c r="U304" s="18" t="s">
        <v>13</v>
      </c>
      <c r="V304" s="18">
        <v>14</v>
      </c>
      <c r="W304" s="1"/>
      <c r="X304" s="26"/>
      <c r="Y304" s="22">
        <f>O304*R304</f>
        <v>45</v>
      </c>
      <c r="Z304" s="26"/>
      <c r="AA304" s="20" t="s">
        <v>354</v>
      </c>
      <c r="AB304" s="11" t="s">
        <v>846</v>
      </c>
    </row>
    <row r="305" spans="1:28" s="12" customFormat="1" ht="29.25" customHeight="1">
      <c r="A305" s="26"/>
      <c r="B305" s="2" t="s">
        <v>554</v>
      </c>
      <c r="C305" s="2" t="s">
        <v>863</v>
      </c>
      <c r="D305" s="2" t="s">
        <v>208</v>
      </c>
      <c r="E305" s="2"/>
      <c r="F305" s="2"/>
      <c r="G305" s="2"/>
      <c r="H305" s="2" t="s">
        <v>864</v>
      </c>
      <c r="I305" s="9" t="s">
        <v>303</v>
      </c>
      <c r="J305" s="2">
        <v>80</v>
      </c>
      <c r="K305" s="2" t="s">
        <v>768</v>
      </c>
      <c r="L305" s="2">
        <v>616.58270000000005</v>
      </c>
      <c r="M305" s="22" t="s">
        <v>353</v>
      </c>
      <c r="N305" s="22"/>
      <c r="O305" s="2">
        <v>25</v>
      </c>
      <c r="P305" s="2"/>
      <c r="Q305" s="2"/>
      <c r="R305" s="13">
        <v>1</v>
      </c>
      <c r="S305" s="13">
        <v>1</v>
      </c>
      <c r="T305" s="13"/>
      <c r="U305" s="18" t="s">
        <v>13</v>
      </c>
      <c r="V305" s="18">
        <v>14</v>
      </c>
      <c r="W305" s="1" t="s">
        <v>364</v>
      </c>
      <c r="X305" s="26"/>
      <c r="Y305" s="22">
        <f>O305*R305</f>
        <v>25</v>
      </c>
      <c r="Z305" s="26"/>
      <c r="AA305" s="20" t="s">
        <v>354</v>
      </c>
      <c r="AB305" s="11" t="s">
        <v>865</v>
      </c>
    </row>
    <row r="306" spans="1:28" s="12" customFormat="1" ht="29.25" customHeight="1">
      <c r="A306" s="26"/>
      <c r="B306" s="2" t="s">
        <v>555</v>
      </c>
      <c r="C306" s="2" t="s">
        <v>155</v>
      </c>
      <c r="D306" s="2" t="s">
        <v>208</v>
      </c>
      <c r="E306" s="2"/>
      <c r="F306" s="2"/>
      <c r="G306" s="2"/>
      <c r="H306" s="2" t="s">
        <v>859</v>
      </c>
      <c r="I306" s="9" t="s">
        <v>303</v>
      </c>
      <c r="J306" s="2">
        <v>80</v>
      </c>
      <c r="K306" s="2" t="s">
        <v>861</v>
      </c>
      <c r="L306" s="2">
        <v>616.46</v>
      </c>
      <c r="M306" s="22" t="s">
        <v>353</v>
      </c>
      <c r="N306" s="22"/>
      <c r="O306" s="2">
        <v>25</v>
      </c>
      <c r="P306" s="2"/>
      <c r="Q306" s="2"/>
      <c r="R306" s="13">
        <v>1</v>
      </c>
      <c r="S306" s="13">
        <v>1</v>
      </c>
      <c r="T306" s="13"/>
      <c r="U306" s="18" t="s">
        <v>13</v>
      </c>
      <c r="V306" s="18">
        <v>14</v>
      </c>
      <c r="W306" s="1" t="s">
        <v>364</v>
      </c>
      <c r="X306" s="26"/>
      <c r="Y306" s="22">
        <f>O306*R306</f>
        <v>25</v>
      </c>
      <c r="Z306" s="26"/>
      <c r="AA306" s="20" t="s">
        <v>354</v>
      </c>
      <c r="AB306" s="11" t="s">
        <v>862</v>
      </c>
    </row>
    <row r="307" spans="1:28">
      <c r="X307" s="8"/>
      <c r="Y307" s="4">
        <f>SUM(Y263:Y306)</f>
        <v>5500</v>
      </c>
      <c r="Z307" s="8"/>
    </row>
    <row r="308" spans="1:28">
      <c r="X308" s="8"/>
      <c r="Z308" s="8"/>
    </row>
    <row r="309" spans="1:28">
      <c r="X309" s="8"/>
      <c r="Z309" s="8"/>
    </row>
    <row r="310" spans="1:28">
      <c r="X310" s="8"/>
      <c r="Z310" s="8"/>
    </row>
    <row r="311" spans="1:28">
      <c r="X311" s="8"/>
      <c r="Z311" s="8"/>
    </row>
    <row r="312" spans="1:28">
      <c r="X312" s="8"/>
      <c r="Z312" s="8"/>
    </row>
    <row r="313" spans="1:28">
      <c r="X313" s="8"/>
      <c r="Z313" s="8"/>
    </row>
    <row r="314" spans="1:28">
      <c r="X314" s="8"/>
      <c r="Z314" s="8"/>
    </row>
    <row r="315" spans="1:28">
      <c r="X315" s="8"/>
      <c r="Z315" s="8"/>
    </row>
    <row r="316" spans="1:28">
      <c r="X316" s="8"/>
      <c r="Z316" s="8"/>
    </row>
    <row r="317" spans="1:28">
      <c r="X317" s="8"/>
      <c r="Z317" s="8"/>
    </row>
    <row r="318" spans="1:28">
      <c r="X318" s="8"/>
      <c r="Z318" s="8"/>
    </row>
    <row r="319" spans="1:28">
      <c r="X319" s="8"/>
      <c r="Z319" s="8"/>
    </row>
    <row r="320" spans="1:28">
      <c r="X320" s="8"/>
      <c r="Z320" s="8"/>
    </row>
    <row r="321" spans="24:26">
      <c r="X321" s="8"/>
      <c r="Z321" s="8"/>
    </row>
    <row r="322" spans="24:26">
      <c r="X322" s="8"/>
      <c r="Z322" s="8"/>
    </row>
    <row r="323" spans="24:26">
      <c r="X323" s="8"/>
      <c r="Z323" s="8"/>
    </row>
    <row r="324" spans="24:26">
      <c r="X324" s="8"/>
      <c r="Z324" s="8"/>
    </row>
    <row r="325" spans="24:26">
      <c r="X325" s="8"/>
      <c r="Z325" s="8"/>
    </row>
    <row r="326" spans="24:26">
      <c r="X326" s="8"/>
      <c r="Z326" s="8"/>
    </row>
    <row r="327" spans="24:26">
      <c r="X327" s="8"/>
      <c r="Z327" s="8"/>
    </row>
    <row r="328" spans="24:26">
      <c r="X328" s="8"/>
      <c r="Z328" s="8"/>
    </row>
    <row r="329" spans="24:26">
      <c r="X329" s="8"/>
      <c r="Z329" s="8"/>
    </row>
    <row r="330" spans="24:26">
      <c r="X330" s="8"/>
      <c r="Z330" s="8"/>
    </row>
    <row r="331" spans="24:26">
      <c r="X331" s="8"/>
      <c r="Z331" s="8"/>
    </row>
    <row r="332" spans="24:26">
      <c r="X332" s="8"/>
      <c r="Z332" s="8"/>
    </row>
    <row r="333" spans="24:26">
      <c r="X333" s="8"/>
      <c r="Z333" s="8"/>
    </row>
    <row r="334" spans="24:26">
      <c r="X334" s="8"/>
      <c r="Z334" s="8"/>
    </row>
    <row r="335" spans="24:26">
      <c r="X335" s="8"/>
      <c r="Z335" s="8"/>
    </row>
    <row r="336" spans="24:26">
      <c r="X336" s="8"/>
      <c r="Z336" s="8"/>
    </row>
    <row r="337" spans="24:26">
      <c r="X337" s="8"/>
      <c r="Z337" s="8"/>
    </row>
    <row r="338" spans="24:26">
      <c r="X338" s="8"/>
      <c r="Z338" s="8"/>
    </row>
    <row r="339" spans="24:26">
      <c r="X339" s="8"/>
      <c r="Z339" s="8"/>
    </row>
    <row r="340" spans="24:26">
      <c r="X340" s="8"/>
      <c r="Z340" s="8"/>
    </row>
    <row r="341" spans="24:26">
      <c r="X341" s="8"/>
      <c r="Z341" s="8"/>
    </row>
    <row r="342" spans="24:26">
      <c r="X342" s="8"/>
      <c r="Z342" s="8"/>
    </row>
    <row r="343" spans="24:26">
      <c r="X343" s="8"/>
      <c r="Z343" s="8"/>
    </row>
    <row r="344" spans="24:26">
      <c r="X344" s="8"/>
      <c r="Z344" s="8"/>
    </row>
    <row r="345" spans="24:26">
      <c r="X345" s="8"/>
      <c r="Z345" s="8"/>
    </row>
    <row r="346" spans="24:26">
      <c r="X346" s="8"/>
      <c r="Z346" s="8"/>
    </row>
    <row r="347" spans="24:26">
      <c r="X347" s="8"/>
      <c r="Z347" s="8"/>
    </row>
    <row r="348" spans="24:26">
      <c r="X348" s="8"/>
      <c r="Z348" s="8"/>
    </row>
    <row r="349" spans="24:26">
      <c r="X349" s="8"/>
      <c r="Z349" s="8"/>
    </row>
    <row r="350" spans="24:26">
      <c r="X350" s="8"/>
      <c r="Z350" s="8"/>
    </row>
    <row r="351" spans="24:26">
      <c r="X351" s="8"/>
      <c r="Z351" s="8"/>
    </row>
    <row r="352" spans="24:26">
      <c r="X352" s="8"/>
      <c r="Z352" s="8"/>
    </row>
    <row r="353" spans="24:26">
      <c r="X353" s="8"/>
      <c r="Z353" s="8"/>
    </row>
    <row r="354" spans="24:26">
      <c r="X354" s="8"/>
      <c r="Z354" s="8"/>
    </row>
    <row r="355" spans="24:26">
      <c r="X355" s="8"/>
      <c r="Z355" s="8"/>
    </row>
    <row r="356" spans="24:26">
      <c r="X356" s="8"/>
      <c r="Z356" s="8"/>
    </row>
    <row r="357" spans="24:26">
      <c r="X357" s="8"/>
      <c r="Z357" s="8"/>
    </row>
    <row r="358" spans="24:26">
      <c r="X358" s="8"/>
      <c r="Z358" s="8"/>
    </row>
    <row r="359" spans="24:26">
      <c r="X359" s="8"/>
      <c r="Z359" s="8"/>
    </row>
    <row r="360" spans="24:26">
      <c r="X360" s="8"/>
      <c r="Z360" s="8"/>
    </row>
    <row r="361" spans="24:26">
      <c r="X361" s="8"/>
      <c r="Z361" s="8"/>
    </row>
    <row r="362" spans="24:26">
      <c r="X362" s="8"/>
      <c r="Z362" s="8"/>
    </row>
    <row r="363" spans="24:26">
      <c r="X363" s="8"/>
      <c r="Z363" s="8"/>
    </row>
    <row r="364" spans="24:26">
      <c r="X364" s="8"/>
      <c r="Z364" s="8"/>
    </row>
    <row r="365" spans="24:26">
      <c r="X365" s="8"/>
      <c r="Z365" s="8"/>
    </row>
    <row r="366" spans="24:26">
      <c r="X366" s="8"/>
      <c r="Z366" s="8"/>
    </row>
    <row r="367" spans="24:26">
      <c r="X367" s="8"/>
      <c r="Z367" s="8"/>
    </row>
    <row r="368" spans="24:26">
      <c r="X368" s="8"/>
      <c r="Z368" s="8"/>
    </row>
    <row r="369" spans="24:26">
      <c r="X369" s="8"/>
      <c r="Z369" s="8"/>
    </row>
    <row r="370" spans="24:26">
      <c r="X370" s="8"/>
      <c r="Z370" s="8"/>
    </row>
    <row r="371" spans="24:26">
      <c r="X371" s="8"/>
      <c r="Z371" s="8"/>
    </row>
    <row r="372" spans="24:26">
      <c r="X372" s="8"/>
      <c r="Z372" s="8"/>
    </row>
    <row r="373" spans="24:26">
      <c r="X373" s="8"/>
      <c r="Z373" s="8"/>
    </row>
    <row r="374" spans="24:26">
      <c r="X374" s="8"/>
      <c r="Z374" s="8"/>
    </row>
    <row r="375" spans="24:26">
      <c r="X375" s="8"/>
      <c r="Z375" s="8"/>
    </row>
    <row r="376" spans="24:26">
      <c r="X376" s="8"/>
      <c r="Z376" s="8"/>
    </row>
    <row r="377" spans="24:26">
      <c r="X377" s="8"/>
      <c r="Z377" s="8"/>
    </row>
    <row r="378" spans="24:26">
      <c r="X378" s="8"/>
      <c r="Z378" s="8"/>
    </row>
    <row r="379" spans="24:26">
      <c r="X379" s="8"/>
      <c r="Z379" s="8"/>
    </row>
    <row r="380" spans="24:26">
      <c r="X380" s="8"/>
      <c r="Z380" s="8"/>
    </row>
    <row r="381" spans="24:26">
      <c r="X381" s="8"/>
      <c r="Z381" s="8"/>
    </row>
    <row r="382" spans="24:26">
      <c r="X382" s="8"/>
      <c r="Z382" s="8"/>
    </row>
    <row r="383" spans="24:26">
      <c r="X383" s="8"/>
      <c r="Z383" s="8"/>
    </row>
    <row r="384" spans="24:26">
      <c r="X384" s="8"/>
      <c r="Z384" s="8"/>
    </row>
    <row r="385" spans="24:26">
      <c r="X385" s="8"/>
      <c r="Z385" s="8"/>
    </row>
    <row r="386" spans="24:26">
      <c r="X386" s="8"/>
      <c r="Z386" s="8"/>
    </row>
    <row r="387" spans="24:26">
      <c r="X387" s="8"/>
      <c r="Z387" s="8"/>
    </row>
    <row r="388" spans="24:26">
      <c r="X388" s="8"/>
      <c r="Z388" s="8"/>
    </row>
    <row r="389" spans="24:26">
      <c r="X389" s="8"/>
      <c r="Z389" s="8"/>
    </row>
    <row r="390" spans="24:26">
      <c r="X390" s="8"/>
      <c r="Z390" s="8"/>
    </row>
    <row r="391" spans="24:26">
      <c r="X391" s="8"/>
      <c r="Z391" s="8"/>
    </row>
    <row r="392" spans="24:26">
      <c r="X392" s="8"/>
      <c r="Z392" s="8"/>
    </row>
    <row r="393" spans="24:26">
      <c r="X393" s="8"/>
      <c r="Z393" s="8"/>
    </row>
    <row r="394" spans="24:26">
      <c r="X394" s="8"/>
      <c r="Z394" s="8"/>
    </row>
    <row r="395" spans="24:26">
      <c r="X395" s="8"/>
      <c r="Z395" s="8"/>
    </row>
    <row r="396" spans="24:26">
      <c r="X396" s="8"/>
      <c r="Z396" s="8"/>
    </row>
    <row r="397" spans="24:26">
      <c r="X397" s="8"/>
      <c r="Z397" s="8"/>
    </row>
    <row r="398" spans="24:26">
      <c r="X398" s="8"/>
      <c r="Z398" s="8"/>
    </row>
    <row r="399" spans="24:26">
      <c r="X399" s="8"/>
      <c r="Z399" s="8"/>
    </row>
    <row r="400" spans="24:26">
      <c r="X400" s="8"/>
      <c r="Z400" s="8"/>
    </row>
    <row r="401" spans="24:26">
      <c r="X401" s="8"/>
      <c r="Z401" s="8"/>
    </row>
    <row r="402" spans="24:26">
      <c r="X402" s="8"/>
      <c r="Z402" s="8"/>
    </row>
    <row r="403" spans="24:26">
      <c r="X403" s="8"/>
      <c r="Z403" s="8"/>
    </row>
    <row r="404" spans="24:26">
      <c r="X404" s="8"/>
      <c r="Z404" s="8"/>
    </row>
    <row r="405" spans="24:26">
      <c r="X405" s="8"/>
      <c r="Z405" s="8"/>
    </row>
    <row r="406" spans="24:26">
      <c r="X406" s="8"/>
      <c r="Z406" s="8"/>
    </row>
    <row r="407" spans="24:26">
      <c r="X407" s="8"/>
      <c r="Z407" s="8"/>
    </row>
    <row r="408" spans="24:26">
      <c r="X408" s="8"/>
      <c r="Z408" s="8"/>
    </row>
    <row r="409" spans="24:26">
      <c r="X409" s="8"/>
      <c r="Z409" s="8"/>
    </row>
    <row r="410" spans="24:26">
      <c r="X410" s="8"/>
      <c r="Z410" s="8"/>
    </row>
    <row r="411" spans="24:26">
      <c r="X411" s="8"/>
      <c r="Z411" s="8"/>
    </row>
    <row r="412" spans="24:26">
      <c r="X412" s="8"/>
      <c r="Z412" s="8"/>
    </row>
    <row r="413" spans="24:26">
      <c r="X413" s="8"/>
      <c r="Z413" s="8"/>
    </row>
    <row r="414" spans="24:26">
      <c r="X414" s="8"/>
      <c r="Z414" s="8"/>
    </row>
    <row r="415" spans="24:26">
      <c r="X415" s="8"/>
      <c r="Z415" s="8"/>
    </row>
    <row r="416" spans="24:26">
      <c r="X416" s="8"/>
      <c r="Z416" s="8"/>
    </row>
    <row r="417" spans="24:26">
      <c r="X417" s="8"/>
      <c r="Z417" s="8"/>
    </row>
    <row r="418" spans="24:26">
      <c r="X418" s="8"/>
      <c r="Z418" s="8"/>
    </row>
    <row r="419" spans="24:26">
      <c r="X419" s="8"/>
      <c r="Z419" s="8"/>
    </row>
    <row r="420" spans="24:26">
      <c r="X420" s="8"/>
      <c r="Z420" s="8"/>
    </row>
    <row r="421" spans="24:26">
      <c r="X421" s="8"/>
      <c r="Z421" s="8"/>
    </row>
    <row r="422" spans="24:26">
      <c r="X422" s="8"/>
      <c r="Z422" s="8"/>
    </row>
    <row r="423" spans="24:26">
      <c r="X423" s="8"/>
      <c r="Z423" s="8"/>
    </row>
    <row r="424" spans="24:26">
      <c r="X424" s="8"/>
      <c r="Z424" s="8"/>
    </row>
    <row r="425" spans="24:26">
      <c r="X425" s="8"/>
      <c r="Z425" s="8"/>
    </row>
    <row r="426" spans="24:26">
      <c r="X426" s="8"/>
      <c r="Z426" s="8"/>
    </row>
    <row r="427" spans="24:26">
      <c r="X427" s="8"/>
      <c r="Z427" s="8"/>
    </row>
    <row r="428" spans="24:26">
      <c r="X428" s="8"/>
      <c r="Z428" s="8"/>
    </row>
    <row r="429" spans="24:26">
      <c r="X429" s="8"/>
      <c r="Z429" s="8"/>
    </row>
    <row r="430" spans="24:26">
      <c r="X430" s="8"/>
      <c r="Z430" s="8"/>
    </row>
    <row r="431" spans="24:26">
      <c r="X431" s="8"/>
      <c r="Z431" s="8"/>
    </row>
    <row r="432" spans="24:26">
      <c r="X432" s="8"/>
      <c r="Z432" s="8"/>
    </row>
    <row r="433" spans="24:26">
      <c r="X433" s="8"/>
      <c r="Z433" s="8"/>
    </row>
    <row r="434" spans="24:26">
      <c r="X434" s="8"/>
      <c r="Z434" s="8"/>
    </row>
    <row r="435" spans="24:26">
      <c r="X435" s="8"/>
      <c r="Z435" s="8"/>
    </row>
    <row r="436" spans="24:26">
      <c r="X436" s="8"/>
      <c r="Z436" s="8"/>
    </row>
    <row r="437" spans="24:26">
      <c r="X437" s="8"/>
      <c r="Z437" s="8"/>
    </row>
    <row r="438" spans="24:26">
      <c r="X438" s="8"/>
      <c r="Z438" s="8"/>
    </row>
    <row r="439" spans="24:26">
      <c r="X439" s="8"/>
      <c r="Z439" s="8"/>
    </row>
    <row r="440" spans="24:26">
      <c r="X440" s="8"/>
      <c r="Z440" s="8"/>
    </row>
    <row r="441" spans="24:26">
      <c r="X441" s="8"/>
      <c r="Z441" s="8"/>
    </row>
    <row r="442" spans="24:26">
      <c r="X442" s="8"/>
      <c r="Z442" s="8"/>
    </row>
    <row r="443" spans="24:26">
      <c r="X443" s="8"/>
      <c r="Z443" s="8"/>
    </row>
    <row r="444" spans="24:26">
      <c r="X444" s="8"/>
      <c r="Z444" s="8"/>
    </row>
    <row r="445" spans="24:26">
      <c r="X445" s="8"/>
      <c r="Z445" s="8"/>
    </row>
    <row r="446" spans="24:26">
      <c r="X446" s="8"/>
      <c r="Z446" s="8"/>
    </row>
    <row r="447" spans="24:26">
      <c r="X447" s="8"/>
      <c r="Z447" s="8"/>
    </row>
    <row r="448" spans="24:26">
      <c r="X448" s="8"/>
      <c r="Z448" s="8"/>
    </row>
    <row r="449" spans="24:26">
      <c r="X449" s="8"/>
      <c r="Z449" s="8"/>
    </row>
    <row r="450" spans="24:26">
      <c r="X450" s="8"/>
      <c r="Z450" s="8"/>
    </row>
    <row r="451" spans="24:26">
      <c r="X451" s="8"/>
      <c r="Z451" s="8"/>
    </row>
    <row r="452" spans="24:26">
      <c r="X452" s="8"/>
      <c r="Z452" s="8"/>
    </row>
    <row r="453" spans="24:26">
      <c r="X453" s="8"/>
      <c r="Z453" s="8"/>
    </row>
    <row r="454" spans="24:26">
      <c r="X454" s="8"/>
      <c r="Z454" s="8"/>
    </row>
    <row r="455" spans="24:26">
      <c r="X455" s="8"/>
      <c r="Z455" s="8"/>
    </row>
    <row r="456" spans="24:26">
      <c r="X456" s="8"/>
      <c r="Z456" s="8"/>
    </row>
    <row r="457" spans="24:26">
      <c r="X457" s="8"/>
      <c r="Z457" s="8"/>
    </row>
    <row r="458" spans="24:26">
      <c r="X458" s="8"/>
      <c r="Z458" s="8"/>
    </row>
    <row r="459" spans="24:26">
      <c r="X459" s="8"/>
      <c r="Z459" s="8"/>
    </row>
    <row r="460" spans="24:26">
      <c r="X460" s="8"/>
      <c r="Z460" s="8"/>
    </row>
    <row r="461" spans="24:26">
      <c r="X461" s="8"/>
      <c r="Z461" s="8"/>
    </row>
    <row r="462" spans="24:26">
      <c r="X462" s="8"/>
      <c r="Z462" s="8"/>
    </row>
    <row r="463" spans="24:26">
      <c r="X463" s="8"/>
      <c r="Z463" s="8"/>
    </row>
    <row r="464" spans="24:26">
      <c r="X464" s="8"/>
      <c r="Z464" s="8"/>
    </row>
    <row r="465" spans="24:26">
      <c r="X465" s="8"/>
      <c r="Z465" s="8"/>
    </row>
    <row r="466" spans="24:26">
      <c r="X466" s="8"/>
      <c r="Z466" s="8"/>
    </row>
    <row r="467" spans="24:26">
      <c r="X467" s="8"/>
      <c r="Z467" s="8"/>
    </row>
    <row r="468" spans="24:26">
      <c r="X468" s="8"/>
      <c r="Z468" s="8"/>
    </row>
    <row r="469" spans="24:26">
      <c r="X469" s="8"/>
      <c r="Z469" s="8"/>
    </row>
    <row r="470" spans="24:26">
      <c r="X470" s="8"/>
      <c r="Z470" s="8"/>
    </row>
    <row r="471" spans="24:26">
      <c r="X471" s="8"/>
      <c r="Z471" s="8"/>
    </row>
    <row r="472" spans="24:26">
      <c r="X472" s="8"/>
      <c r="Z472" s="8"/>
    </row>
    <row r="473" spans="24:26">
      <c r="X473" s="8"/>
      <c r="Z473" s="8"/>
    </row>
    <row r="474" spans="24:26">
      <c r="X474" s="8"/>
      <c r="Z474" s="8"/>
    </row>
    <row r="475" spans="24:26">
      <c r="X475" s="8"/>
      <c r="Z475" s="8"/>
    </row>
    <row r="476" spans="24:26">
      <c r="X476" s="8"/>
      <c r="Z476" s="8"/>
    </row>
    <row r="477" spans="24:26">
      <c r="X477" s="8"/>
      <c r="Z477" s="8"/>
    </row>
    <row r="478" spans="24:26">
      <c r="X478" s="8"/>
      <c r="Z478" s="8"/>
    </row>
    <row r="479" spans="24:26">
      <c r="X479" s="8"/>
      <c r="Z479" s="8"/>
    </row>
    <row r="480" spans="24:26">
      <c r="X480" s="8"/>
      <c r="Z480" s="8"/>
    </row>
    <row r="481" spans="24:26">
      <c r="X481" s="8"/>
      <c r="Z481" s="8"/>
    </row>
    <row r="482" spans="24:26">
      <c r="X482" s="8"/>
      <c r="Z482" s="8"/>
    </row>
    <row r="483" spans="24:26">
      <c r="X483" s="8"/>
      <c r="Z483" s="8"/>
    </row>
    <row r="484" spans="24:26">
      <c r="X484" s="8"/>
      <c r="Z484" s="8"/>
    </row>
    <row r="485" spans="24:26">
      <c r="X485" s="8"/>
      <c r="Z485" s="8"/>
    </row>
    <row r="486" spans="24:26">
      <c r="X486" s="8"/>
      <c r="Z486" s="8"/>
    </row>
    <row r="487" spans="24:26">
      <c r="X487" s="8"/>
      <c r="Z487" s="8"/>
    </row>
    <row r="488" spans="24:26">
      <c r="X488" s="8"/>
      <c r="Z488" s="8"/>
    </row>
    <row r="489" spans="24:26">
      <c r="X489" s="8"/>
      <c r="Z489" s="8"/>
    </row>
    <row r="490" spans="24:26">
      <c r="X490" s="8"/>
      <c r="Z490" s="8"/>
    </row>
    <row r="491" spans="24:26">
      <c r="X491" s="8"/>
      <c r="Z491" s="8"/>
    </row>
    <row r="492" spans="24:26">
      <c r="X492" s="8"/>
      <c r="Z492" s="8"/>
    </row>
    <row r="493" spans="24:26">
      <c r="X493" s="8"/>
      <c r="Z493" s="8"/>
    </row>
    <row r="494" spans="24:26">
      <c r="X494" s="8"/>
      <c r="Z494" s="8"/>
    </row>
    <row r="495" spans="24:26">
      <c r="X495" s="8"/>
      <c r="Z495" s="8"/>
    </row>
    <row r="496" spans="24:26">
      <c r="X496" s="8"/>
      <c r="Z496" s="8"/>
    </row>
    <row r="497" spans="24:26">
      <c r="X497" s="8"/>
      <c r="Z497" s="8"/>
    </row>
    <row r="498" spans="24:26">
      <c r="X498" s="8"/>
      <c r="Z498" s="8"/>
    </row>
    <row r="499" spans="24:26">
      <c r="X499" s="8"/>
      <c r="Z499" s="8"/>
    </row>
    <row r="500" spans="24:26">
      <c r="X500" s="8"/>
      <c r="Z500" s="8"/>
    </row>
    <row r="501" spans="24:26">
      <c r="X501" s="8"/>
      <c r="Z501" s="8"/>
    </row>
    <row r="502" spans="24:26">
      <c r="X502" s="8"/>
      <c r="Z502" s="8"/>
    </row>
    <row r="503" spans="24:26">
      <c r="X503" s="8"/>
      <c r="Z503" s="8"/>
    </row>
    <row r="504" spans="24:26">
      <c r="X504" s="8"/>
      <c r="Z504" s="8"/>
    </row>
    <row r="505" spans="24:26">
      <c r="X505" s="8"/>
      <c r="Z505" s="8"/>
    </row>
    <row r="506" spans="24:26">
      <c r="X506" s="8"/>
      <c r="Z506" s="8"/>
    </row>
    <row r="507" spans="24:26">
      <c r="X507" s="8"/>
      <c r="Z507" s="8"/>
    </row>
    <row r="508" spans="24:26">
      <c r="X508" s="8"/>
      <c r="Z508" s="8"/>
    </row>
    <row r="509" spans="24:26">
      <c r="X509" s="8"/>
      <c r="Z509" s="8"/>
    </row>
    <row r="510" spans="24:26">
      <c r="X510" s="8"/>
      <c r="Z510" s="8"/>
    </row>
    <row r="511" spans="24:26">
      <c r="X511" s="8"/>
      <c r="Z511" s="8"/>
    </row>
    <row r="512" spans="24:26">
      <c r="X512" s="8"/>
      <c r="Z512" s="8"/>
    </row>
    <row r="513" spans="24:26">
      <c r="X513" s="8"/>
      <c r="Z513" s="8"/>
    </row>
    <row r="514" spans="24:26">
      <c r="X514" s="8"/>
      <c r="Z514" s="8"/>
    </row>
    <row r="515" spans="24:26">
      <c r="X515" s="8"/>
      <c r="Z515" s="8"/>
    </row>
    <row r="516" spans="24:26">
      <c r="X516" s="8"/>
      <c r="Z516" s="8"/>
    </row>
    <row r="517" spans="24:26">
      <c r="X517" s="8"/>
      <c r="Z517" s="8"/>
    </row>
    <row r="518" spans="24:26">
      <c r="X518" s="8"/>
      <c r="Z518" s="8"/>
    </row>
    <row r="519" spans="24:26">
      <c r="X519" s="8"/>
      <c r="Z519" s="8"/>
    </row>
    <row r="520" spans="24:26">
      <c r="X520" s="8"/>
      <c r="Z520" s="8"/>
    </row>
    <row r="521" spans="24:26">
      <c r="X521" s="8"/>
      <c r="Z521" s="8"/>
    </row>
    <row r="522" spans="24:26">
      <c r="X522" s="8"/>
      <c r="Z522" s="8"/>
    </row>
    <row r="523" spans="24:26">
      <c r="X523" s="8"/>
      <c r="Z523" s="8"/>
    </row>
    <row r="524" spans="24:26">
      <c r="X524" s="8"/>
      <c r="Z524" s="8"/>
    </row>
    <row r="525" spans="24:26">
      <c r="X525" s="8"/>
      <c r="Z525" s="8"/>
    </row>
    <row r="526" spans="24:26">
      <c r="X526" s="8"/>
      <c r="Z526" s="8"/>
    </row>
    <row r="527" spans="24:26">
      <c r="X527" s="8"/>
      <c r="Z527" s="8"/>
    </row>
    <row r="528" spans="24:26">
      <c r="X528" s="8"/>
      <c r="Z528" s="8"/>
    </row>
    <row r="529" spans="24:26">
      <c r="X529" s="8"/>
      <c r="Z529" s="8"/>
    </row>
    <row r="530" spans="24:26">
      <c r="X530" s="8"/>
      <c r="Z530" s="8"/>
    </row>
    <row r="531" spans="24:26">
      <c r="X531" s="8"/>
      <c r="Z531" s="8"/>
    </row>
    <row r="532" spans="24:26">
      <c r="X532" s="8"/>
      <c r="Z532" s="8"/>
    </row>
    <row r="533" spans="24:26">
      <c r="X533" s="8"/>
      <c r="Z533" s="8"/>
    </row>
    <row r="534" spans="24:26">
      <c r="X534" s="8"/>
      <c r="Z534" s="8"/>
    </row>
    <row r="535" spans="24:26">
      <c r="X535" s="8"/>
      <c r="Z535" s="8"/>
    </row>
    <row r="536" spans="24:26">
      <c r="X536" s="8"/>
      <c r="Z536" s="8"/>
    </row>
    <row r="537" spans="24:26">
      <c r="X537" s="8"/>
      <c r="Z537" s="8"/>
    </row>
    <row r="538" spans="24:26">
      <c r="X538" s="8"/>
      <c r="Z538" s="8"/>
    </row>
    <row r="539" spans="24:26">
      <c r="X539" s="8"/>
      <c r="Z539" s="8"/>
    </row>
    <row r="540" spans="24:26">
      <c r="X540" s="8"/>
      <c r="Z540" s="8"/>
    </row>
    <row r="541" spans="24:26">
      <c r="X541" s="8"/>
      <c r="Z541" s="8"/>
    </row>
    <row r="542" spans="24:26">
      <c r="X542" s="8"/>
      <c r="Z542" s="8"/>
    </row>
    <row r="543" spans="24:26">
      <c r="X543" s="8"/>
      <c r="Z543" s="8"/>
    </row>
    <row r="544" spans="24:26">
      <c r="X544" s="8"/>
      <c r="Z544" s="8"/>
    </row>
    <row r="545" spans="24:26">
      <c r="X545" s="8"/>
      <c r="Z545" s="8"/>
    </row>
    <row r="546" spans="24:26">
      <c r="X546" s="8"/>
      <c r="Z546" s="8"/>
    </row>
    <row r="547" spans="24:26">
      <c r="X547" s="8"/>
      <c r="Z547" s="8"/>
    </row>
    <row r="548" spans="24:26">
      <c r="X548" s="8"/>
      <c r="Z548" s="8"/>
    </row>
    <row r="549" spans="24:26">
      <c r="X549" s="8"/>
      <c r="Z549" s="8"/>
    </row>
    <row r="550" spans="24:26">
      <c r="X550" s="8"/>
      <c r="Z550" s="8"/>
    </row>
    <row r="551" spans="24:26">
      <c r="X551" s="8"/>
      <c r="Z551" s="8"/>
    </row>
    <row r="552" spans="24:26">
      <c r="X552" s="8"/>
      <c r="Z552" s="8"/>
    </row>
    <row r="553" spans="24:26">
      <c r="X553" s="8"/>
      <c r="Z553" s="8"/>
    </row>
    <row r="554" spans="24:26">
      <c r="X554" s="8"/>
      <c r="Z554" s="8"/>
    </row>
    <row r="555" spans="24:26">
      <c r="X555" s="8"/>
      <c r="Z555" s="8"/>
    </row>
    <row r="556" spans="24:26">
      <c r="X556" s="8"/>
      <c r="Z556" s="8"/>
    </row>
    <row r="557" spans="24:26">
      <c r="X557" s="8"/>
      <c r="Z557" s="8"/>
    </row>
    <row r="558" spans="24:26">
      <c r="X558" s="8"/>
      <c r="Z558" s="8"/>
    </row>
    <row r="559" spans="24:26">
      <c r="X559" s="8"/>
      <c r="Z559" s="8"/>
    </row>
    <row r="560" spans="24:26">
      <c r="X560" s="8"/>
      <c r="Z560" s="8"/>
    </row>
    <row r="561" spans="24:26">
      <c r="X561" s="8"/>
      <c r="Z561" s="8"/>
    </row>
    <row r="562" spans="24:26">
      <c r="X562" s="8"/>
      <c r="Z562" s="8"/>
    </row>
    <row r="563" spans="24:26">
      <c r="X563" s="8"/>
      <c r="Z563" s="8"/>
    </row>
    <row r="564" spans="24:26">
      <c r="X564" s="8"/>
      <c r="Z564" s="8"/>
    </row>
    <row r="565" spans="24:26">
      <c r="X565" s="8"/>
      <c r="Z565" s="8"/>
    </row>
    <row r="566" spans="24:26">
      <c r="X566" s="8"/>
      <c r="Z566" s="8"/>
    </row>
    <row r="567" spans="24:26">
      <c r="X567" s="8"/>
      <c r="Z567" s="8"/>
    </row>
    <row r="568" spans="24:26">
      <c r="X568" s="8"/>
      <c r="Z568" s="8"/>
    </row>
    <row r="569" spans="24:26">
      <c r="X569" s="8"/>
      <c r="Z569" s="8"/>
    </row>
    <row r="570" spans="24:26">
      <c r="X570" s="8"/>
      <c r="Z570" s="8"/>
    </row>
    <row r="571" spans="24:26">
      <c r="X571" s="8"/>
      <c r="Z571" s="8"/>
    </row>
    <row r="572" spans="24:26">
      <c r="X572" s="8"/>
      <c r="Z572" s="8"/>
    </row>
    <row r="573" spans="24:26">
      <c r="X573" s="8"/>
      <c r="Z573" s="8"/>
    </row>
    <row r="574" spans="24:26">
      <c r="X574" s="8"/>
      <c r="Z574" s="8"/>
    </row>
    <row r="575" spans="24:26">
      <c r="X575" s="8"/>
      <c r="Z575" s="8"/>
    </row>
    <row r="576" spans="24:26">
      <c r="X576" s="8"/>
      <c r="Z576" s="8"/>
    </row>
    <row r="577" spans="24:26">
      <c r="X577" s="8"/>
      <c r="Z577" s="8"/>
    </row>
    <row r="578" spans="24:26">
      <c r="X578" s="8"/>
      <c r="Z578" s="8"/>
    </row>
    <row r="579" spans="24:26">
      <c r="X579" s="8"/>
      <c r="Z579" s="8"/>
    </row>
    <row r="580" spans="24:26">
      <c r="X580" s="8"/>
      <c r="Z580" s="8"/>
    </row>
    <row r="581" spans="24:26">
      <c r="X581" s="8"/>
      <c r="Z581" s="8"/>
    </row>
    <row r="582" spans="24:26">
      <c r="X582" s="8"/>
      <c r="Z582" s="8"/>
    </row>
    <row r="583" spans="24:26">
      <c r="X583" s="8"/>
      <c r="Z583" s="8"/>
    </row>
    <row r="584" spans="24:26">
      <c r="X584" s="8"/>
      <c r="Z584" s="8"/>
    </row>
    <row r="585" spans="24:26">
      <c r="X585" s="8"/>
      <c r="Z585" s="8"/>
    </row>
    <row r="586" spans="24:26">
      <c r="X586" s="8"/>
      <c r="Z586" s="8"/>
    </row>
    <row r="587" spans="24:26">
      <c r="X587" s="8"/>
      <c r="Z587" s="8"/>
    </row>
    <row r="588" spans="24:26">
      <c r="X588" s="8"/>
      <c r="Z588" s="8"/>
    </row>
    <row r="589" spans="24:26">
      <c r="X589" s="8"/>
      <c r="Z589" s="8"/>
    </row>
    <row r="590" spans="24:26">
      <c r="X590" s="8"/>
      <c r="Z590" s="8"/>
    </row>
    <row r="591" spans="24:26">
      <c r="X591" s="8"/>
      <c r="Z591" s="8"/>
    </row>
    <row r="592" spans="24:26">
      <c r="X592" s="8"/>
      <c r="Z592" s="8"/>
    </row>
    <row r="593" spans="24:26">
      <c r="X593" s="8"/>
      <c r="Z593" s="8"/>
    </row>
    <row r="594" spans="24:26">
      <c r="X594" s="8"/>
      <c r="Z594" s="8"/>
    </row>
    <row r="595" spans="24:26">
      <c r="X595" s="8"/>
      <c r="Z595" s="8"/>
    </row>
    <row r="596" spans="24:26">
      <c r="X596" s="8"/>
      <c r="Z596" s="8"/>
    </row>
    <row r="597" spans="24:26">
      <c r="X597" s="8"/>
      <c r="Z597" s="8"/>
    </row>
    <row r="598" spans="24:26">
      <c r="X598" s="8"/>
      <c r="Z598" s="8"/>
    </row>
    <row r="599" spans="24:26">
      <c r="X599" s="8"/>
      <c r="Z599" s="8"/>
    </row>
    <row r="600" spans="24:26">
      <c r="X600" s="8"/>
      <c r="Z600" s="8"/>
    </row>
    <row r="601" spans="24:26">
      <c r="X601" s="8"/>
      <c r="Z601" s="8"/>
    </row>
    <row r="602" spans="24:26">
      <c r="X602" s="8"/>
      <c r="Z602" s="8"/>
    </row>
    <row r="603" spans="24:26">
      <c r="X603" s="8"/>
      <c r="Z603" s="8"/>
    </row>
    <row r="604" spans="24:26">
      <c r="X604" s="8"/>
      <c r="Z604" s="8"/>
    </row>
    <row r="605" spans="24:26">
      <c r="X605" s="8"/>
      <c r="Z605" s="8"/>
    </row>
    <row r="606" spans="24:26">
      <c r="X606" s="8"/>
      <c r="Z606" s="8"/>
    </row>
    <row r="607" spans="24:26">
      <c r="X607" s="8"/>
      <c r="Z607" s="8"/>
    </row>
    <row r="608" spans="24:26">
      <c r="X608" s="8"/>
      <c r="Z608" s="8"/>
    </row>
    <row r="609" spans="24:26">
      <c r="X609" s="8"/>
      <c r="Z609" s="8"/>
    </row>
    <row r="610" spans="24:26">
      <c r="X610" s="8"/>
      <c r="Z610" s="8"/>
    </row>
    <row r="611" spans="24:26">
      <c r="X611" s="8"/>
      <c r="Z611" s="8"/>
    </row>
    <row r="612" spans="24:26">
      <c r="X612" s="8"/>
      <c r="Z612" s="8"/>
    </row>
    <row r="613" spans="24:26">
      <c r="X613" s="8"/>
      <c r="Z613" s="8"/>
    </row>
    <row r="614" spans="24:26">
      <c r="X614" s="8"/>
      <c r="Z614" s="8"/>
    </row>
    <row r="615" spans="24:26">
      <c r="X615" s="8"/>
      <c r="Z615" s="8"/>
    </row>
    <row r="616" spans="24:26">
      <c r="X616" s="8"/>
      <c r="Z616" s="8"/>
    </row>
    <row r="617" spans="24:26">
      <c r="X617" s="8"/>
      <c r="Z617" s="8"/>
    </row>
    <row r="618" spans="24:26">
      <c r="X618" s="8"/>
      <c r="Z618" s="8"/>
    </row>
    <row r="619" spans="24:26">
      <c r="X619" s="8"/>
      <c r="Z619" s="8"/>
    </row>
    <row r="620" spans="24:26">
      <c r="X620" s="8"/>
      <c r="Z620" s="8"/>
    </row>
    <row r="621" spans="24:26">
      <c r="X621" s="8"/>
      <c r="Z621" s="8"/>
    </row>
    <row r="622" spans="24:26">
      <c r="X622" s="8"/>
      <c r="Z622" s="8"/>
    </row>
    <row r="623" spans="24:26">
      <c r="X623" s="8"/>
      <c r="Z623" s="8"/>
    </row>
    <row r="624" spans="24:26">
      <c r="X624" s="8"/>
      <c r="Z624" s="8"/>
    </row>
    <row r="625" spans="24:26">
      <c r="X625" s="8"/>
      <c r="Z625" s="8"/>
    </row>
    <row r="626" spans="24:26">
      <c r="X626" s="8"/>
      <c r="Z626" s="8"/>
    </row>
    <row r="627" spans="24:26">
      <c r="X627" s="8"/>
      <c r="Z627" s="8"/>
    </row>
    <row r="628" spans="24:26">
      <c r="X628" s="8"/>
      <c r="Z628" s="8"/>
    </row>
    <row r="629" spans="24:26">
      <c r="X629" s="8"/>
      <c r="Z629" s="8"/>
    </row>
    <row r="630" spans="24:26">
      <c r="X630" s="8"/>
      <c r="Z630" s="8"/>
    </row>
    <row r="631" spans="24:26">
      <c r="X631" s="8"/>
      <c r="Z631" s="8"/>
    </row>
    <row r="632" spans="24:26">
      <c r="X632" s="8"/>
      <c r="Z632" s="8"/>
    </row>
    <row r="633" spans="24:26">
      <c r="X633" s="8"/>
      <c r="Z633" s="8"/>
    </row>
    <row r="634" spans="24:26">
      <c r="X634" s="8"/>
      <c r="Z634" s="8"/>
    </row>
    <row r="635" spans="24:26">
      <c r="X635" s="8"/>
      <c r="Z635" s="8"/>
    </row>
    <row r="636" spans="24:26">
      <c r="X636" s="8"/>
      <c r="Z636" s="8"/>
    </row>
    <row r="637" spans="24:26">
      <c r="X637" s="8"/>
      <c r="Z637" s="8"/>
    </row>
    <row r="638" spans="24:26">
      <c r="X638" s="8"/>
      <c r="Z638" s="8"/>
    </row>
    <row r="639" spans="24:26">
      <c r="X639" s="8"/>
      <c r="Z639" s="8"/>
    </row>
    <row r="640" spans="24:26">
      <c r="X640" s="8"/>
      <c r="Z640" s="8"/>
    </row>
    <row r="641" spans="24:26">
      <c r="X641" s="8"/>
      <c r="Z641" s="8"/>
    </row>
    <row r="642" spans="24:26">
      <c r="X642" s="8"/>
      <c r="Z642" s="8"/>
    </row>
    <row r="643" spans="24:26">
      <c r="X643" s="8"/>
      <c r="Z643" s="8"/>
    </row>
    <row r="644" spans="24:26">
      <c r="X644" s="8"/>
      <c r="Z644" s="8"/>
    </row>
    <row r="645" spans="24:26">
      <c r="X645" s="8"/>
      <c r="Z645" s="8"/>
    </row>
    <row r="646" spans="24:26">
      <c r="X646" s="8"/>
      <c r="Z646" s="8"/>
    </row>
    <row r="647" spans="24:26">
      <c r="X647" s="8"/>
      <c r="Z647" s="8"/>
    </row>
    <row r="648" spans="24:26">
      <c r="X648" s="8"/>
      <c r="Z648" s="8"/>
    </row>
    <row r="649" spans="24:26">
      <c r="X649" s="8"/>
      <c r="Z649" s="8"/>
    </row>
    <row r="650" spans="24:26">
      <c r="X650" s="8"/>
      <c r="Z650" s="8"/>
    </row>
    <row r="651" spans="24:26">
      <c r="X651" s="8"/>
      <c r="Z651" s="8"/>
    </row>
    <row r="652" spans="24:26">
      <c r="X652" s="8"/>
      <c r="Z652" s="8"/>
    </row>
    <row r="653" spans="24:26">
      <c r="X653" s="8"/>
      <c r="Z653" s="8"/>
    </row>
    <row r="654" spans="24:26">
      <c r="X654" s="8"/>
      <c r="Z654" s="8"/>
    </row>
    <row r="655" spans="24:26">
      <c r="X655" s="8"/>
      <c r="Z655" s="8"/>
    </row>
    <row r="656" spans="24:26">
      <c r="X656" s="8"/>
      <c r="Z656" s="8"/>
    </row>
    <row r="657" spans="24:26">
      <c r="X657" s="8"/>
      <c r="Z657" s="8"/>
    </row>
    <row r="658" spans="24:26">
      <c r="X658" s="8"/>
      <c r="Z658" s="8"/>
    </row>
    <row r="659" spans="24:26">
      <c r="X659" s="8"/>
      <c r="Z659" s="8"/>
    </row>
    <row r="660" spans="24:26">
      <c r="X660" s="8"/>
      <c r="Z660" s="8"/>
    </row>
    <row r="661" spans="24:26">
      <c r="X661" s="8"/>
      <c r="Z661" s="8"/>
    </row>
    <row r="662" spans="24:26">
      <c r="X662" s="8"/>
      <c r="Z662" s="8"/>
    </row>
    <row r="663" spans="24:26">
      <c r="X663" s="8"/>
      <c r="Z663" s="8"/>
    </row>
    <row r="664" spans="24:26">
      <c r="X664" s="8"/>
      <c r="Z664" s="8"/>
    </row>
    <row r="665" spans="24:26">
      <c r="X665" s="8"/>
      <c r="Z665" s="8"/>
    </row>
    <row r="666" spans="24:26">
      <c r="X666" s="8"/>
      <c r="Z666" s="8"/>
    </row>
    <row r="667" spans="24:26">
      <c r="X667" s="8"/>
      <c r="Z667" s="8"/>
    </row>
    <row r="668" spans="24:26">
      <c r="X668" s="8"/>
      <c r="Z668" s="8"/>
    </row>
    <row r="669" spans="24:26">
      <c r="X669" s="8"/>
      <c r="Z669" s="8"/>
    </row>
    <row r="670" spans="24:26">
      <c r="X670" s="8"/>
      <c r="Z670" s="8"/>
    </row>
    <row r="671" spans="24:26">
      <c r="X671" s="8"/>
      <c r="Z671" s="8"/>
    </row>
    <row r="672" spans="24:26">
      <c r="X672" s="8"/>
      <c r="Z672" s="8"/>
    </row>
    <row r="673" spans="24:26">
      <c r="X673" s="8"/>
      <c r="Z673" s="8"/>
    </row>
    <row r="674" spans="24:26">
      <c r="X674" s="8"/>
      <c r="Z674" s="8"/>
    </row>
    <row r="675" spans="24:26">
      <c r="X675" s="8"/>
      <c r="Z675" s="8"/>
    </row>
    <row r="676" spans="24:26">
      <c r="X676" s="8"/>
      <c r="Z676" s="8"/>
    </row>
    <row r="677" spans="24:26">
      <c r="X677" s="8"/>
      <c r="Z677" s="8"/>
    </row>
    <row r="678" spans="24:26">
      <c r="X678" s="8"/>
      <c r="Z678" s="8"/>
    </row>
    <row r="679" spans="24:26">
      <c r="X679" s="8"/>
      <c r="Z679" s="8"/>
    </row>
    <row r="680" spans="24:26">
      <c r="X680" s="8"/>
      <c r="Z680" s="8"/>
    </row>
    <row r="681" spans="24:26">
      <c r="X681" s="8"/>
      <c r="Z681" s="8"/>
    </row>
    <row r="682" spans="24:26">
      <c r="X682" s="8"/>
      <c r="Z682" s="8"/>
    </row>
    <row r="683" spans="24:26">
      <c r="X683" s="8"/>
      <c r="Z683" s="8"/>
    </row>
    <row r="684" spans="24:26">
      <c r="X684" s="8"/>
      <c r="Z684" s="8"/>
    </row>
    <row r="685" spans="24:26">
      <c r="X685" s="8"/>
      <c r="Z685" s="8"/>
    </row>
    <row r="686" spans="24:26">
      <c r="X686" s="8"/>
      <c r="Z686" s="8"/>
    </row>
    <row r="687" spans="24:26">
      <c r="X687" s="8"/>
      <c r="Z687" s="8"/>
    </row>
    <row r="688" spans="24:26">
      <c r="X688" s="8"/>
      <c r="Z688" s="8"/>
    </row>
    <row r="689" spans="24:26">
      <c r="X689" s="8"/>
      <c r="Z689" s="8"/>
    </row>
    <row r="690" spans="24:26">
      <c r="X690" s="8"/>
      <c r="Z690" s="8"/>
    </row>
    <row r="691" spans="24:26">
      <c r="X691" s="8"/>
      <c r="Z691" s="8"/>
    </row>
    <row r="692" spans="24:26">
      <c r="X692" s="8"/>
      <c r="Z692" s="8"/>
    </row>
    <row r="693" spans="24:26">
      <c r="X693" s="8"/>
      <c r="Z693" s="8"/>
    </row>
    <row r="694" spans="24:26">
      <c r="X694" s="8"/>
      <c r="Z694" s="8"/>
    </row>
    <row r="695" spans="24:26">
      <c r="X695" s="8"/>
      <c r="Z695" s="8"/>
    </row>
    <row r="696" spans="24:26">
      <c r="X696" s="8"/>
      <c r="Z696" s="8"/>
    </row>
    <row r="697" spans="24:26">
      <c r="X697" s="8"/>
      <c r="Z697" s="8"/>
    </row>
    <row r="698" spans="24:26">
      <c r="X698" s="8"/>
      <c r="Z698" s="8"/>
    </row>
    <row r="699" spans="24:26">
      <c r="X699" s="8"/>
      <c r="Z699" s="8"/>
    </row>
    <row r="700" spans="24:26">
      <c r="X700" s="8"/>
      <c r="Z700" s="8"/>
    </row>
    <row r="701" spans="24:26">
      <c r="X701" s="8"/>
      <c r="Z701" s="8"/>
    </row>
    <row r="702" spans="24:26">
      <c r="X702" s="8"/>
      <c r="Z702" s="8"/>
    </row>
    <row r="703" spans="24:26">
      <c r="X703" s="8"/>
      <c r="Z703" s="8"/>
    </row>
    <row r="704" spans="24:26">
      <c r="X704" s="8"/>
      <c r="Z704" s="8"/>
    </row>
    <row r="705" spans="24:26">
      <c r="X705" s="8"/>
      <c r="Z705" s="8"/>
    </row>
    <row r="706" spans="24:26">
      <c r="X706" s="8"/>
      <c r="Z706" s="8"/>
    </row>
    <row r="707" spans="24:26">
      <c r="X707" s="8"/>
      <c r="Z707" s="8"/>
    </row>
    <row r="708" spans="24:26">
      <c r="X708" s="8"/>
      <c r="Z708" s="8"/>
    </row>
    <row r="709" spans="24:26">
      <c r="X709" s="8"/>
      <c r="Z709" s="8"/>
    </row>
    <row r="710" spans="24:26">
      <c r="X710" s="8"/>
      <c r="Z710" s="8"/>
    </row>
    <row r="711" spans="24:26">
      <c r="X711" s="8"/>
      <c r="Z711" s="8"/>
    </row>
    <row r="712" spans="24:26">
      <c r="X712" s="8"/>
      <c r="Z712" s="8"/>
    </row>
    <row r="713" spans="24:26">
      <c r="X713" s="8"/>
      <c r="Z713" s="8"/>
    </row>
    <row r="714" spans="24:26">
      <c r="X714" s="8"/>
      <c r="Z714" s="8"/>
    </row>
    <row r="715" spans="24:26">
      <c r="X715" s="8"/>
      <c r="Z715" s="8"/>
    </row>
    <row r="716" spans="24:26">
      <c r="X716" s="8"/>
      <c r="Z716" s="8"/>
    </row>
    <row r="717" spans="24:26">
      <c r="X717" s="8"/>
      <c r="Z717" s="8"/>
    </row>
    <row r="718" spans="24:26">
      <c r="X718" s="8"/>
      <c r="Z718" s="8"/>
    </row>
    <row r="719" spans="24:26">
      <c r="X719" s="8"/>
      <c r="Z719" s="8"/>
    </row>
    <row r="720" spans="24:26">
      <c r="X720" s="8"/>
      <c r="Z720" s="8"/>
    </row>
    <row r="721" spans="24:26">
      <c r="X721" s="8"/>
      <c r="Z721" s="8"/>
    </row>
    <row r="722" spans="24:26">
      <c r="X722" s="8"/>
      <c r="Z722" s="8"/>
    </row>
    <row r="723" spans="24:26">
      <c r="X723" s="8"/>
      <c r="Z723" s="8"/>
    </row>
    <row r="724" spans="24:26">
      <c r="X724" s="8"/>
      <c r="Z724" s="8"/>
    </row>
    <row r="725" spans="24:26">
      <c r="X725" s="8"/>
      <c r="Z725" s="8"/>
    </row>
    <row r="726" spans="24:26">
      <c r="X726" s="8"/>
      <c r="Z726" s="8"/>
    </row>
    <row r="727" spans="24:26">
      <c r="X727" s="8"/>
      <c r="Z727" s="8"/>
    </row>
    <row r="728" spans="24:26">
      <c r="X728" s="8"/>
      <c r="Z728" s="8"/>
    </row>
    <row r="729" spans="24:26">
      <c r="X729" s="8"/>
      <c r="Z729" s="8"/>
    </row>
    <row r="730" spans="24:26">
      <c r="X730" s="8"/>
      <c r="Z730" s="8"/>
    </row>
    <row r="731" spans="24:26">
      <c r="X731" s="8"/>
      <c r="Z731" s="8"/>
    </row>
    <row r="732" spans="24:26">
      <c r="X732" s="8"/>
      <c r="Z732" s="8"/>
    </row>
    <row r="733" spans="24:26">
      <c r="X733" s="8"/>
      <c r="Z733" s="8"/>
    </row>
    <row r="734" spans="24:26">
      <c r="X734" s="8"/>
      <c r="Z734" s="8"/>
    </row>
    <row r="735" spans="24:26">
      <c r="X735" s="8"/>
      <c r="Z735" s="8"/>
    </row>
    <row r="736" spans="24:26">
      <c r="X736" s="8"/>
      <c r="Z736" s="8"/>
    </row>
    <row r="737" spans="24:26">
      <c r="X737" s="8"/>
      <c r="Z737" s="8"/>
    </row>
    <row r="738" spans="24:26">
      <c r="X738" s="8"/>
      <c r="Z738" s="8"/>
    </row>
    <row r="739" spans="24:26">
      <c r="X739" s="8"/>
      <c r="Z739" s="8"/>
    </row>
    <row r="740" spans="24:26">
      <c r="X740" s="8"/>
      <c r="Z740" s="8"/>
    </row>
    <row r="741" spans="24:26">
      <c r="X741" s="8"/>
      <c r="Z741" s="8"/>
    </row>
    <row r="742" spans="24:26">
      <c r="X742" s="8"/>
      <c r="Z742" s="8"/>
    </row>
    <row r="743" spans="24:26">
      <c r="X743" s="8"/>
      <c r="Z743" s="8"/>
    </row>
    <row r="744" spans="24:26">
      <c r="X744" s="8"/>
      <c r="Z744" s="8"/>
    </row>
    <row r="745" spans="24:26">
      <c r="X745" s="8"/>
      <c r="Z745" s="8"/>
    </row>
    <row r="746" spans="24:26">
      <c r="X746" s="8"/>
      <c r="Z746" s="8"/>
    </row>
    <row r="747" spans="24:26">
      <c r="X747" s="8"/>
      <c r="Z747" s="8"/>
    </row>
    <row r="748" spans="24:26">
      <c r="X748" s="8"/>
      <c r="Z748" s="8"/>
    </row>
    <row r="749" spans="24:26">
      <c r="X749" s="8"/>
      <c r="Z749" s="8"/>
    </row>
    <row r="750" spans="24:26">
      <c r="X750" s="8"/>
      <c r="Z750" s="8"/>
    </row>
    <row r="751" spans="24:26">
      <c r="X751" s="8"/>
      <c r="Z751" s="8"/>
    </row>
    <row r="752" spans="24:26">
      <c r="X752" s="8"/>
      <c r="Z752" s="8"/>
    </row>
    <row r="753" spans="24:26">
      <c r="X753" s="8"/>
      <c r="Z753" s="8"/>
    </row>
    <row r="754" spans="24:26">
      <c r="X754" s="8"/>
      <c r="Z754" s="8"/>
    </row>
    <row r="755" spans="24:26">
      <c r="X755" s="8"/>
      <c r="Z755" s="8"/>
    </row>
    <row r="756" spans="24:26">
      <c r="X756" s="8"/>
      <c r="Z756" s="8"/>
    </row>
    <row r="757" spans="24:26">
      <c r="X757" s="8"/>
      <c r="Z757" s="8"/>
    </row>
    <row r="758" spans="24:26">
      <c r="X758" s="8"/>
      <c r="Z758" s="8"/>
    </row>
    <row r="759" spans="24:26">
      <c r="X759" s="8"/>
      <c r="Z759" s="8"/>
    </row>
    <row r="760" spans="24:26">
      <c r="X760" s="8"/>
      <c r="Z760" s="8"/>
    </row>
    <row r="761" spans="24:26">
      <c r="X761" s="8"/>
      <c r="Z761" s="8"/>
    </row>
    <row r="762" spans="24:26">
      <c r="X762" s="8"/>
      <c r="Z762" s="8"/>
    </row>
    <row r="763" spans="24:26">
      <c r="X763" s="8"/>
      <c r="Z763" s="8"/>
    </row>
    <row r="764" spans="24:26">
      <c r="X764" s="8"/>
      <c r="Z764" s="8"/>
    </row>
    <row r="765" spans="24:26">
      <c r="X765" s="8"/>
      <c r="Z765" s="8"/>
    </row>
    <row r="766" spans="24:26">
      <c r="X766" s="8"/>
      <c r="Z766" s="8"/>
    </row>
    <row r="767" spans="24:26">
      <c r="X767" s="8"/>
      <c r="Z767" s="8"/>
    </row>
    <row r="768" spans="24:26">
      <c r="X768" s="8"/>
      <c r="Z768" s="8"/>
    </row>
    <row r="769" spans="24:26">
      <c r="X769" s="8"/>
      <c r="Z769" s="8"/>
    </row>
    <row r="770" spans="24:26">
      <c r="X770" s="8"/>
      <c r="Z770" s="8"/>
    </row>
    <row r="771" spans="24:26">
      <c r="X771" s="8"/>
      <c r="Z771" s="8"/>
    </row>
    <row r="772" spans="24:26">
      <c r="X772" s="8"/>
      <c r="Z772" s="8"/>
    </row>
    <row r="773" spans="24:26">
      <c r="X773" s="8"/>
      <c r="Z773" s="8"/>
    </row>
    <row r="774" spans="24:26">
      <c r="X774" s="8"/>
      <c r="Z774" s="8"/>
    </row>
    <row r="775" spans="24:26">
      <c r="X775" s="8"/>
      <c r="Z775" s="8"/>
    </row>
    <row r="776" spans="24:26">
      <c r="X776" s="8"/>
      <c r="Z776" s="8"/>
    </row>
    <row r="777" spans="24:26">
      <c r="X777" s="8"/>
      <c r="Z777" s="8"/>
    </row>
    <row r="778" spans="24:26">
      <c r="X778" s="8"/>
      <c r="Z778" s="8"/>
    </row>
    <row r="779" spans="24:26">
      <c r="X779" s="8"/>
      <c r="Z779" s="8"/>
    </row>
    <row r="780" spans="24:26">
      <c r="X780" s="8"/>
      <c r="Z780" s="8"/>
    </row>
    <row r="781" spans="24:26">
      <c r="X781" s="8"/>
      <c r="Z781" s="8"/>
    </row>
    <row r="782" spans="24:26">
      <c r="X782" s="8"/>
      <c r="Z782" s="8"/>
    </row>
    <row r="783" spans="24:26">
      <c r="X783" s="8"/>
      <c r="Z783" s="8"/>
    </row>
    <row r="784" spans="24:26">
      <c r="X784" s="8"/>
      <c r="Z784" s="8"/>
    </row>
    <row r="785" spans="24:26">
      <c r="X785" s="8"/>
      <c r="Z785" s="8"/>
    </row>
    <row r="786" spans="24:26">
      <c r="X786" s="8"/>
      <c r="Z786" s="8"/>
    </row>
    <row r="787" spans="24:26">
      <c r="X787" s="8"/>
      <c r="Z787" s="8"/>
    </row>
    <row r="788" spans="24:26">
      <c r="X788" s="8"/>
      <c r="Z788" s="8"/>
    </row>
    <row r="789" spans="24:26">
      <c r="X789" s="8"/>
      <c r="Z789" s="8"/>
    </row>
    <row r="790" spans="24:26">
      <c r="X790" s="8"/>
      <c r="Z790" s="8"/>
    </row>
    <row r="791" spans="24:26">
      <c r="X791" s="8"/>
      <c r="Z791" s="8"/>
    </row>
    <row r="792" spans="24:26">
      <c r="X792" s="8"/>
      <c r="Z792" s="8"/>
    </row>
    <row r="793" spans="24:26">
      <c r="X793" s="8"/>
      <c r="Z793" s="8"/>
    </row>
    <row r="794" spans="24:26">
      <c r="X794" s="8"/>
      <c r="Z794" s="8"/>
    </row>
    <row r="795" spans="24:26">
      <c r="X795" s="8"/>
      <c r="Z795" s="8"/>
    </row>
    <row r="796" spans="24:26">
      <c r="X796" s="8"/>
      <c r="Z796" s="8"/>
    </row>
    <row r="797" spans="24:26">
      <c r="X797" s="8"/>
      <c r="Z797" s="8"/>
    </row>
    <row r="798" spans="24:26">
      <c r="X798" s="8"/>
      <c r="Z798" s="8"/>
    </row>
    <row r="799" spans="24:26">
      <c r="X799" s="8"/>
      <c r="Z799" s="8"/>
    </row>
    <row r="800" spans="24:26">
      <c r="X800" s="8"/>
      <c r="Z800" s="8"/>
    </row>
    <row r="801" spans="24:26">
      <c r="X801" s="8"/>
      <c r="Z801" s="8"/>
    </row>
    <row r="802" spans="24:26">
      <c r="X802" s="8"/>
      <c r="Z802" s="8"/>
    </row>
    <row r="803" spans="24:26">
      <c r="X803" s="8"/>
      <c r="Z803" s="8"/>
    </row>
    <row r="804" spans="24:26">
      <c r="X804" s="8"/>
      <c r="Z804" s="8"/>
    </row>
    <row r="805" spans="24:26">
      <c r="X805" s="8"/>
      <c r="Z805" s="8"/>
    </row>
    <row r="806" spans="24:26">
      <c r="X806" s="8"/>
      <c r="Z806" s="8"/>
    </row>
    <row r="807" spans="24:26">
      <c r="X807" s="8"/>
      <c r="Z807" s="8"/>
    </row>
    <row r="808" spans="24:26">
      <c r="X808" s="8"/>
      <c r="Z808" s="8"/>
    </row>
    <row r="809" spans="24:26">
      <c r="X809" s="8"/>
      <c r="Z809" s="8"/>
    </row>
    <row r="810" spans="24:26">
      <c r="X810" s="8"/>
      <c r="Z810" s="8"/>
    </row>
    <row r="811" spans="24:26">
      <c r="X811" s="8"/>
      <c r="Z811" s="8"/>
    </row>
    <row r="812" spans="24:26">
      <c r="X812" s="8"/>
      <c r="Z812" s="8"/>
    </row>
    <row r="813" spans="24:26">
      <c r="X813" s="8"/>
      <c r="Z813" s="8"/>
    </row>
    <row r="814" spans="24:26">
      <c r="X814" s="8"/>
      <c r="Z814" s="8"/>
    </row>
    <row r="815" spans="24:26">
      <c r="X815" s="8"/>
      <c r="Z815" s="8"/>
    </row>
    <row r="816" spans="24:26">
      <c r="X816" s="8"/>
      <c r="Z816" s="8"/>
    </row>
    <row r="817" spans="24:26">
      <c r="X817" s="8"/>
      <c r="Z817" s="8"/>
    </row>
    <row r="818" spans="24:26">
      <c r="X818" s="8"/>
      <c r="Z818" s="8"/>
    </row>
    <row r="819" spans="24:26">
      <c r="X819" s="8"/>
      <c r="Z819" s="8"/>
    </row>
    <row r="820" spans="24:26">
      <c r="X820" s="8"/>
      <c r="Z820" s="8"/>
    </row>
    <row r="821" spans="24:26">
      <c r="X821" s="8"/>
      <c r="Z821" s="8"/>
    </row>
    <row r="822" spans="24:26">
      <c r="X822" s="8"/>
      <c r="Z822" s="8"/>
    </row>
    <row r="823" spans="24:26">
      <c r="X823" s="8"/>
      <c r="Z823" s="8"/>
    </row>
    <row r="824" spans="24:26">
      <c r="X824" s="8"/>
      <c r="Z824" s="8"/>
    </row>
    <row r="825" spans="24:26">
      <c r="X825" s="8"/>
      <c r="Z825" s="8"/>
    </row>
    <row r="826" spans="24:26">
      <c r="X826" s="8"/>
      <c r="Z826" s="8"/>
    </row>
    <row r="827" spans="24:26">
      <c r="X827" s="8"/>
      <c r="Z827" s="8"/>
    </row>
    <row r="828" spans="24:26">
      <c r="X828" s="8"/>
      <c r="Z828" s="8"/>
    </row>
    <row r="829" spans="24:26">
      <c r="X829" s="8"/>
      <c r="Z829" s="8"/>
    </row>
    <row r="830" spans="24:26">
      <c r="X830" s="8"/>
      <c r="Z830" s="8"/>
    </row>
    <row r="831" spans="24:26">
      <c r="X831" s="8"/>
      <c r="Z831" s="8"/>
    </row>
    <row r="832" spans="24:26">
      <c r="X832" s="8"/>
      <c r="Z832" s="8"/>
    </row>
    <row r="833" spans="24:26">
      <c r="X833" s="8"/>
      <c r="Z833" s="8"/>
    </row>
    <row r="834" spans="24:26">
      <c r="X834" s="8"/>
      <c r="Z834" s="8"/>
    </row>
    <row r="835" spans="24:26">
      <c r="X835" s="8"/>
      <c r="Z835" s="8"/>
    </row>
    <row r="836" spans="24:26">
      <c r="X836" s="8"/>
      <c r="Z836" s="8"/>
    </row>
    <row r="837" spans="24:26">
      <c r="X837" s="8"/>
      <c r="Z837" s="8"/>
    </row>
    <row r="838" spans="24:26">
      <c r="X838" s="8"/>
      <c r="Z838" s="8"/>
    </row>
    <row r="839" spans="24:26">
      <c r="X839" s="8"/>
      <c r="Z839" s="8"/>
    </row>
    <row r="840" spans="24:26">
      <c r="X840" s="8"/>
      <c r="Z840" s="8"/>
    </row>
    <row r="841" spans="24:26">
      <c r="X841" s="8"/>
      <c r="Z841" s="8"/>
    </row>
    <row r="842" spans="24:26">
      <c r="X842" s="8"/>
      <c r="Z842" s="8"/>
    </row>
    <row r="843" spans="24:26">
      <c r="X843" s="8"/>
      <c r="Z843" s="8"/>
    </row>
    <row r="844" spans="24:26">
      <c r="X844" s="8"/>
      <c r="Z844" s="8"/>
    </row>
    <row r="845" spans="24:26">
      <c r="X845" s="8"/>
      <c r="Z845" s="8"/>
    </row>
    <row r="846" spans="24:26">
      <c r="X846" s="8"/>
      <c r="Z846" s="8"/>
    </row>
    <row r="847" spans="24:26">
      <c r="X847" s="8"/>
      <c r="Z847" s="8"/>
    </row>
    <row r="848" spans="24:26">
      <c r="X848" s="8"/>
      <c r="Z848" s="8"/>
    </row>
    <row r="849" spans="24:26">
      <c r="X849" s="8"/>
      <c r="Z849" s="8"/>
    </row>
    <row r="850" spans="24:26">
      <c r="X850" s="8"/>
      <c r="Z850" s="8"/>
    </row>
    <row r="851" spans="24:26">
      <c r="X851" s="8"/>
      <c r="Z851" s="8"/>
    </row>
    <row r="852" spans="24:26">
      <c r="X852" s="8"/>
      <c r="Z852" s="8"/>
    </row>
    <row r="853" spans="24:26">
      <c r="X853" s="8"/>
      <c r="Z853" s="8"/>
    </row>
    <row r="854" spans="24:26">
      <c r="X854" s="8"/>
      <c r="Z854" s="8"/>
    </row>
    <row r="855" spans="24:26">
      <c r="X855" s="8"/>
      <c r="Z855" s="8"/>
    </row>
    <row r="856" spans="24:26">
      <c r="X856" s="8"/>
      <c r="Z856" s="8"/>
    </row>
    <row r="857" spans="24:26">
      <c r="X857" s="8"/>
      <c r="Z857" s="8"/>
    </row>
    <row r="858" spans="24:26">
      <c r="X858" s="8"/>
      <c r="Z858" s="8"/>
    </row>
    <row r="859" spans="24:26">
      <c r="X859" s="8"/>
      <c r="Z859" s="8"/>
    </row>
    <row r="860" spans="24:26">
      <c r="X860" s="8"/>
      <c r="Z860" s="8"/>
    </row>
    <row r="861" spans="24:26">
      <c r="X861" s="8"/>
      <c r="Z861" s="8"/>
    </row>
    <row r="862" spans="24:26">
      <c r="X862" s="8"/>
      <c r="Z862" s="8"/>
    </row>
    <row r="863" spans="24:26">
      <c r="X863" s="8"/>
      <c r="Z863" s="8"/>
    </row>
    <row r="864" spans="24:26">
      <c r="X864" s="8"/>
      <c r="Z864" s="8"/>
    </row>
    <row r="865" spans="24:26">
      <c r="X865" s="8"/>
      <c r="Z865" s="8"/>
    </row>
    <row r="866" spans="24:26">
      <c r="X866" s="8"/>
      <c r="Z866" s="8"/>
    </row>
    <row r="867" spans="24:26">
      <c r="X867" s="8"/>
      <c r="Z867" s="8"/>
    </row>
    <row r="868" spans="24:26">
      <c r="X868" s="8"/>
      <c r="Z868" s="8"/>
    </row>
    <row r="869" spans="24:26">
      <c r="X869" s="8"/>
      <c r="Z869" s="8"/>
    </row>
    <row r="870" spans="24:26">
      <c r="X870" s="8"/>
      <c r="Z870" s="8"/>
    </row>
    <row r="871" spans="24:26">
      <c r="X871" s="8"/>
      <c r="Z871" s="8"/>
    </row>
    <row r="872" spans="24:26">
      <c r="X872" s="8"/>
      <c r="Z872" s="8"/>
    </row>
    <row r="873" spans="24:26">
      <c r="X873" s="8"/>
      <c r="Z873" s="8"/>
    </row>
    <row r="874" spans="24:26">
      <c r="X874" s="8"/>
      <c r="Z874" s="8"/>
    </row>
    <row r="875" spans="24:26">
      <c r="X875" s="8"/>
      <c r="Z875" s="8"/>
    </row>
    <row r="876" spans="24:26">
      <c r="X876" s="8"/>
      <c r="Z876" s="8"/>
    </row>
    <row r="877" spans="24:26">
      <c r="X877" s="8"/>
      <c r="Z877" s="8"/>
    </row>
    <row r="878" spans="24:26">
      <c r="X878" s="8"/>
      <c r="Z878" s="8"/>
    </row>
    <row r="879" spans="24:26">
      <c r="X879" s="8"/>
      <c r="Z879" s="8"/>
    </row>
    <row r="880" spans="24:26">
      <c r="X880" s="8"/>
      <c r="Z880" s="8"/>
    </row>
    <row r="881" spans="24:26">
      <c r="X881" s="8"/>
      <c r="Z881" s="8"/>
    </row>
    <row r="882" spans="24:26">
      <c r="X882" s="8"/>
      <c r="Z882" s="8"/>
    </row>
    <row r="883" spans="24:26">
      <c r="X883" s="8"/>
      <c r="Z883" s="8"/>
    </row>
    <row r="884" spans="24:26">
      <c r="X884" s="8"/>
      <c r="Z884" s="8"/>
    </row>
    <row r="885" spans="24:26">
      <c r="X885" s="8"/>
      <c r="Z885" s="8"/>
    </row>
    <row r="886" spans="24:26">
      <c r="X886" s="8"/>
      <c r="Z886" s="8"/>
    </row>
    <row r="887" spans="24:26">
      <c r="X887" s="8"/>
      <c r="Z887" s="8"/>
    </row>
    <row r="888" spans="24:26">
      <c r="X888" s="8"/>
      <c r="Z888" s="8"/>
    </row>
    <row r="889" spans="24:26">
      <c r="X889" s="8"/>
      <c r="Z889" s="8"/>
    </row>
    <row r="890" spans="24:26">
      <c r="X890" s="8"/>
      <c r="Z890" s="8"/>
    </row>
    <row r="891" spans="24:26">
      <c r="X891" s="8"/>
      <c r="Z891" s="8"/>
    </row>
    <row r="892" spans="24:26">
      <c r="X892" s="8"/>
      <c r="Z892" s="8"/>
    </row>
    <row r="893" spans="24:26">
      <c r="X893" s="8"/>
      <c r="Z893" s="8"/>
    </row>
    <row r="894" spans="24:26">
      <c r="X894" s="8"/>
      <c r="Z894" s="8"/>
    </row>
    <row r="895" spans="24:26">
      <c r="X895" s="8"/>
      <c r="Z895" s="8"/>
    </row>
    <row r="896" spans="24:26">
      <c r="X896" s="8"/>
      <c r="Z896" s="8"/>
    </row>
    <row r="897" spans="24:26">
      <c r="X897" s="8"/>
      <c r="Z897" s="8"/>
    </row>
    <row r="898" spans="24:26">
      <c r="X898" s="8"/>
      <c r="Z898" s="8"/>
    </row>
    <row r="899" spans="24:26">
      <c r="X899" s="8"/>
      <c r="Z899" s="8"/>
    </row>
    <row r="900" spans="24:26">
      <c r="X900" s="8"/>
      <c r="Z900" s="8"/>
    </row>
    <row r="901" spans="24:26">
      <c r="X901" s="8"/>
      <c r="Z901" s="8"/>
    </row>
    <row r="902" spans="24:26">
      <c r="X902" s="8"/>
      <c r="Z902" s="8"/>
    </row>
    <row r="903" spans="24:26">
      <c r="X903" s="8"/>
      <c r="Z903" s="8"/>
    </row>
    <row r="904" spans="24:26">
      <c r="X904" s="8"/>
      <c r="Z904" s="8"/>
    </row>
    <row r="905" spans="24:26">
      <c r="X905" s="8"/>
      <c r="Z905" s="8"/>
    </row>
    <row r="906" spans="24:26">
      <c r="X906" s="8"/>
      <c r="Z906" s="8"/>
    </row>
    <row r="907" spans="24:26">
      <c r="X907" s="8"/>
      <c r="Z907" s="8"/>
    </row>
    <row r="908" spans="24:26">
      <c r="X908" s="8"/>
      <c r="Z908" s="8"/>
    </row>
    <row r="909" spans="24:26">
      <c r="X909" s="8"/>
      <c r="Z909" s="8"/>
    </row>
    <row r="910" spans="24:26">
      <c r="X910" s="8"/>
      <c r="Z910" s="8"/>
    </row>
    <row r="911" spans="24:26">
      <c r="X911" s="8"/>
      <c r="Z911" s="8"/>
    </row>
    <row r="912" spans="24:26">
      <c r="X912" s="8"/>
      <c r="Z912" s="8"/>
    </row>
    <row r="913" spans="24:26">
      <c r="X913" s="8"/>
      <c r="Z913" s="8"/>
    </row>
    <row r="914" spans="24:26">
      <c r="X914" s="8"/>
      <c r="Z914" s="8"/>
    </row>
    <row r="915" spans="24:26">
      <c r="X915" s="8"/>
      <c r="Z915" s="8"/>
    </row>
    <row r="916" spans="24:26">
      <c r="X916" s="8"/>
      <c r="Z916" s="8"/>
    </row>
    <row r="917" spans="24:26">
      <c r="X917" s="8"/>
      <c r="Z917" s="8"/>
    </row>
    <row r="918" spans="24:26">
      <c r="X918" s="8"/>
      <c r="Z918" s="8"/>
    </row>
    <row r="919" spans="24:26">
      <c r="X919" s="8"/>
      <c r="Z919" s="8"/>
    </row>
    <row r="920" spans="24:26">
      <c r="X920" s="8"/>
      <c r="Z920" s="8"/>
    </row>
    <row r="921" spans="24:26">
      <c r="X921" s="8"/>
      <c r="Z921" s="8"/>
    </row>
    <row r="922" spans="24:26">
      <c r="X922" s="8"/>
      <c r="Z922" s="8"/>
    </row>
    <row r="923" spans="24:26">
      <c r="X923" s="8"/>
      <c r="Z923" s="8"/>
    </row>
    <row r="924" spans="24:26">
      <c r="X924" s="8"/>
      <c r="Z924" s="8"/>
    </row>
    <row r="925" spans="24:26">
      <c r="X925" s="8"/>
      <c r="Z925" s="8"/>
    </row>
    <row r="926" spans="24:26">
      <c r="X926" s="8"/>
      <c r="Z926" s="8"/>
    </row>
    <row r="927" spans="24:26">
      <c r="X927" s="8"/>
      <c r="Z927" s="8"/>
    </row>
    <row r="928" spans="24:26">
      <c r="X928" s="8"/>
      <c r="Z928" s="8"/>
    </row>
    <row r="929" spans="24:26">
      <c r="X929" s="8"/>
      <c r="Z929" s="8"/>
    </row>
    <row r="930" spans="24:26">
      <c r="X930" s="8"/>
      <c r="Z930" s="8"/>
    </row>
    <row r="931" spans="24:26">
      <c r="X931" s="8"/>
      <c r="Z931" s="8"/>
    </row>
    <row r="932" spans="24:26">
      <c r="X932" s="8"/>
      <c r="Z932" s="8"/>
    </row>
    <row r="933" spans="24:26">
      <c r="X933" s="8"/>
      <c r="Z933" s="8"/>
    </row>
    <row r="934" spans="24:26">
      <c r="X934" s="8"/>
      <c r="Z934" s="8"/>
    </row>
    <row r="935" spans="24:26">
      <c r="X935" s="8"/>
      <c r="Z935" s="8"/>
    </row>
    <row r="936" spans="24:26">
      <c r="X936" s="8"/>
      <c r="Z936" s="8"/>
    </row>
    <row r="937" spans="24:26">
      <c r="X937" s="8"/>
      <c r="Z937" s="8"/>
    </row>
    <row r="938" spans="24:26">
      <c r="X938" s="8"/>
      <c r="Z938" s="8"/>
    </row>
    <row r="939" spans="24:26">
      <c r="X939" s="8"/>
      <c r="Z939" s="8"/>
    </row>
    <row r="940" spans="24:26">
      <c r="X940" s="8"/>
      <c r="Z940" s="8"/>
    </row>
    <row r="941" spans="24:26">
      <c r="X941" s="8"/>
      <c r="Z941" s="8"/>
    </row>
    <row r="942" spans="24:26">
      <c r="X942" s="8"/>
      <c r="Z942" s="8"/>
    </row>
    <row r="943" spans="24:26">
      <c r="X943" s="8"/>
      <c r="Z943" s="8"/>
    </row>
    <row r="944" spans="24:26">
      <c r="X944" s="8"/>
      <c r="Z944" s="8"/>
    </row>
    <row r="945" spans="24:26">
      <c r="X945" s="8"/>
      <c r="Z945" s="8"/>
    </row>
    <row r="946" spans="24:26">
      <c r="X946" s="8"/>
      <c r="Z946" s="8"/>
    </row>
    <row r="947" spans="24:26">
      <c r="X947" s="8"/>
      <c r="Z947" s="8"/>
    </row>
    <row r="948" spans="24:26">
      <c r="X948" s="8"/>
      <c r="Z948" s="8"/>
    </row>
    <row r="949" spans="24:26">
      <c r="X949" s="8"/>
      <c r="Z949" s="8"/>
    </row>
    <row r="950" spans="24:26">
      <c r="X950" s="8"/>
      <c r="Z950" s="8"/>
    </row>
    <row r="951" spans="24:26">
      <c r="X951" s="8"/>
      <c r="Z951" s="8"/>
    </row>
    <row r="952" spans="24:26">
      <c r="X952" s="8"/>
      <c r="Z952" s="8"/>
    </row>
    <row r="953" spans="24:26">
      <c r="X953" s="8"/>
      <c r="Z953" s="8"/>
    </row>
    <row r="954" spans="24:26">
      <c r="X954" s="8"/>
      <c r="Z954" s="8"/>
    </row>
    <row r="955" spans="24:26">
      <c r="X955" s="8"/>
      <c r="Z955" s="8"/>
    </row>
    <row r="956" spans="24:26">
      <c r="X956" s="8"/>
      <c r="Z956" s="8"/>
    </row>
    <row r="957" spans="24:26">
      <c r="X957" s="8"/>
      <c r="Z957" s="8"/>
    </row>
    <row r="958" spans="24:26">
      <c r="X958" s="8"/>
      <c r="Z958" s="8"/>
    </row>
    <row r="959" spans="24:26">
      <c r="X959" s="8"/>
      <c r="Z959" s="8"/>
    </row>
    <row r="960" spans="24:26">
      <c r="X960" s="8"/>
      <c r="Z960" s="8"/>
    </row>
    <row r="961" spans="24:26">
      <c r="X961" s="8"/>
      <c r="Z961" s="8"/>
    </row>
    <row r="962" spans="24:26">
      <c r="X962" s="8"/>
      <c r="Z962" s="8"/>
    </row>
    <row r="963" spans="24:26">
      <c r="X963" s="8"/>
      <c r="Z963" s="8"/>
    </row>
    <row r="964" spans="24:26">
      <c r="X964" s="8"/>
      <c r="Z964" s="8"/>
    </row>
    <row r="965" spans="24:26">
      <c r="X965" s="8"/>
      <c r="Z965" s="8"/>
    </row>
    <row r="966" spans="24:26">
      <c r="X966" s="8"/>
      <c r="Z966" s="8"/>
    </row>
    <row r="967" spans="24:26">
      <c r="X967" s="8"/>
      <c r="Z967" s="8"/>
    </row>
    <row r="968" spans="24:26">
      <c r="X968" s="8"/>
      <c r="Z968" s="8"/>
    </row>
    <row r="969" spans="24:26">
      <c r="X969" s="8"/>
      <c r="Z969" s="8"/>
    </row>
    <row r="970" spans="24:26">
      <c r="X970" s="8"/>
      <c r="Z970" s="8"/>
    </row>
    <row r="971" spans="24:26">
      <c r="X971" s="8"/>
      <c r="Z971" s="8"/>
    </row>
    <row r="972" spans="24:26">
      <c r="X972" s="8"/>
      <c r="Z972" s="8"/>
    </row>
    <row r="973" spans="24:26">
      <c r="X973" s="8"/>
      <c r="Z973" s="8"/>
    </row>
    <row r="974" spans="24:26">
      <c r="X974" s="8"/>
      <c r="Z974" s="8"/>
    </row>
    <row r="975" spans="24:26">
      <c r="X975" s="8"/>
      <c r="Z975" s="8"/>
    </row>
    <row r="976" spans="24:26">
      <c r="X976" s="8"/>
      <c r="Z976" s="8"/>
    </row>
    <row r="977" spans="24:26">
      <c r="X977" s="8"/>
      <c r="Z977" s="8"/>
    </row>
    <row r="978" spans="24:26">
      <c r="X978" s="8"/>
      <c r="Z978" s="8"/>
    </row>
    <row r="979" spans="24:26">
      <c r="X979" s="8"/>
      <c r="Z979" s="8"/>
    </row>
    <row r="980" spans="24:26">
      <c r="X980" s="8"/>
      <c r="Z980" s="8"/>
    </row>
    <row r="981" spans="24:26">
      <c r="X981" s="8"/>
      <c r="Z981" s="8"/>
    </row>
    <row r="982" spans="24:26">
      <c r="X982" s="8"/>
      <c r="Z982" s="8"/>
    </row>
    <row r="983" spans="24:26">
      <c r="X983" s="8"/>
      <c r="Z983" s="8"/>
    </row>
    <row r="984" spans="24:26">
      <c r="X984" s="8"/>
      <c r="Z984" s="8"/>
    </row>
    <row r="985" spans="24:26">
      <c r="X985" s="8"/>
      <c r="Z985" s="8"/>
    </row>
    <row r="986" spans="24:26">
      <c r="X986" s="8"/>
      <c r="Z986" s="8"/>
    </row>
    <row r="987" spans="24:26">
      <c r="X987" s="8"/>
      <c r="Z987" s="8"/>
    </row>
    <row r="988" spans="24:26">
      <c r="X988" s="8"/>
      <c r="Z988" s="8"/>
    </row>
    <row r="989" spans="24:26">
      <c r="X989" s="8"/>
      <c r="Z989" s="8"/>
    </row>
    <row r="990" spans="24:26">
      <c r="X990" s="8"/>
      <c r="Z990" s="8"/>
    </row>
    <row r="991" spans="24:26">
      <c r="X991" s="8"/>
      <c r="Z991" s="8"/>
    </row>
    <row r="992" spans="24:26">
      <c r="X992" s="8"/>
      <c r="Z992" s="8"/>
    </row>
    <row r="993" spans="24:26">
      <c r="X993" s="8"/>
      <c r="Z993" s="8"/>
    </row>
    <row r="994" spans="24:26">
      <c r="X994" s="8"/>
      <c r="Z994" s="8"/>
    </row>
    <row r="995" spans="24:26">
      <c r="X995" s="8"/>
      <c r="Z995" s="8"/>
    </row>
    <row r="996" spans="24:26">
      <c r="X996" s="8"/>
      <c r="Z996" s="8"/>
    </row>
    <row r="997" spans="24:26">
      <c r="X997" s="8"/>
      <c r="Z997" s="8"/>
    </row>
    <row r="998" spans="24:26">
      <c r="X998" s="8"/>
      <c r="Z998" s="8"/>
    </row>
    <row r="999" spans="24:26">
      <c r="X999" s="8"/>
      <c r="Z999" s="8"/>
    </row>
    <row r="1000" spans="24:26">
      <c r="X1000" s="8"/>
      <c r="Z1000" s="8"/>
    </row>
    <row r="1001" spans="24:26">
      <c r="X1001" s="8"/>
      <c r="Z1001" s="8"/>
    </row>
    <row r="1002" spans="24:26">
      <c r="X1002" s="8"/>
      <c r="Z1002" s="8"/>
    </row>
    <row r="1003" spans="24:26">
      <c r="X1003" s="8"/>
      <c r="Z1003" s="8"/>
    </row>
    <row r="1004" spans="24:26">
      <c r="X1004" s="8"/>
      <c r="Z1004" s="8"/>
    </row>
    <row r="1005" spans="24:26">
      <c r="X1005" s="8"/>
      <c r="Z1005" s="8"/>
    </row>
    <row r="1006" spans="24:26">
      <c r="X1006" s="8"/>
      <c r="Z1006" s="8"/>
    </row>
    <row r="1007" spans="24:26">
      <c r="X1007" s="8"/>
      <c r="Z1007" s="8"/>
    </row>
    <row r="1008" spans="24:26">
      <c r="X1008" s="8"/>
      <c r="Z1008" s="8"/>
    </row>
    <row r="1009" spans="24:26">
      <c r="X1009" s="8"/>
      <c r="Z1009" s="8"/>
    </row>
    <row r="1010" spans="24:26">
      <c r="X1010" s="8"/>
      <c r="Z1010" s="8"/>
    </row>
    <row r="1011" spans="24:26">
      <c r="X1011" s="8"/>
      <c r="Z1011" s="8"/>
    </row>
    <row r="1012" spans="24:26">
      <c r="X1012" s="8"/>
      <c r="Z1012" s="8"/>
    </row>
    <row r="1013" spans="24:26">
      <c r="X1013" s="8"/>
      <c r="Z1013" s="8"/>
    </row>
    <row r="1014" spans="24:26">
      <c r="X1014" s="8"/>
      <c r="Z1014" s="8"/>
    </row>
    <row r="1015" spans="24:26">
      <c r="X1015" s="8"/>
      <c r="Z1015" s="8"/>
    </row>
    <row r="1016" spans="24:26">
      <c r="X1016" s="8"/>
      <c r="Z1016" s="8"/>
    </row>
    <row r="1017" spans="24:26">
      <c r="X1017" s="8"/>
      <c r="Z1017" s="8"/>
    </row>
    <row r="1018" spans="24:26">
      <c r="X1018" s="8"/>
      <c r="Z1018" s="8"/>
    </row>
    <row r="1019" spans="24:26">
      <c r="X1019" s="8"/>
      <c r="Z1019" s="8"/>
    </row>
    <row r="1020" spans="24:26">
      <c r="X1020" s="8"/>
      <c r="Z1020" s="8"/>
    </row>
    <row r="1021" spans="24:26">
      <c r="X1021" s="8"/>
      <c r="Z1021" s="8"/>
    </row>
    <row r="1022" spans="24:26">
      <c r="X1022" s="8"/>
      <c r="Z1022" s="8"/>
    </row>
    <row r="1023" spans="24:26">
      <c r="X1023" s="8"/>
      <c r="Z1023" s="8"/>
    </row>
    <row r="1024" spans="24:26">
      <c r="X1024" s="8"/>
      <c r="Z1024" s="8"/>
    </row>
    <row r="1025" spans="24:26">
      <c r="X1025" s="8"/>
      <c r="Z1025" s="8"/>
    </row>
    <row r="1026" spans="24:26">
      <c r="X1026" s="8"/>
      <c r="Z1026" s="8"/>
    </row>
    <row r="1027" spans="24:26">
      <c r="X1027" s="8"/>
      <c r="Z1027" s="8"/>
    </row>
    <row r="1028" spans="24:26">
      <c r="X1028" s="8"/>
      <c r="Z1028" s="8"/>
    </row>
    <row r="1029" spans="24:26">
      <c r="X1029" s="8"/>
      <c r="Z1029" s="8"/>
    </row>
    <row r="1030" spans="24:26">
      <c r="X1030" s="8"/>
      <c r="Z1030" s="8"/>
    </row>
    <row r="1031" spans="24:26">
      <c r="X1031" s="8"/>
      <c r="Z1031" s="8"/>
    </row>
    <row r="1032" spans="24:26">
      <c r="X1032" s="8"/>
      <c r="Z1032" s="8"/>
    </row>
    <row r="1033" spans="24:26">
      <c r="X1033" s="8"/>
      <c r="Z1033" s="8"/>
    </row>
    <row r="1034" spans="24:26">
      <c r="X1034" s="8"/>
      <c r="Z1034" s="8"/>
    </row>
    <row r="1035" spans="24:26">
      <c r="X1035" s="8"/>
      <c r="Z1035" s="8"/>
    </row>
    <row r="1036" spans="24:26">
      <c r="X1036" s="8"/>
      <c r="Z1036" s="8"/>
    </row>
    <row r="1037" spans="24:26">
      <c r="X1037" s="8"/>
      <c r="Z1037" s="8"/>
    </row>
    <row r="1038" spans="24:26">
      <c r="X1038" s="8"/>
      <c r="Z1038" s="8"/>
    </row>
    <row r="1039" spans="24:26">
      <c r="X1039" s="8"/>
      <c r="Z1039" s="8"/>
    </row>
    <row r="1040" spans="24:26">
      <c r="X1040" s="8"/>
      <c r="Z1040" s="8"/>
    </row>
    <row r="1041" spans="24:26">
      <c r="X1041" s="8"/>
      <c r="Z1041" s="8"/>
    </row>
    <row r="1042" spans="24:26">
      <c r="X1042" s="8"/>
      <c r="Z1042" s="8"/>
    </row>
    <row r="1043" spans="24:26">
      <c r="X1043" s="8"/>
      <c r="Z1043" s="8"/>
    </row>
    <row r="1044" spans="24:26">
      <c r="X1044" s="8"/>
      <c r="Z1044" s="8"/>
    </row>
    <row r="1045" spans="24:26">
      <c r="X1045" s="8"/>
      <c r="Z1045" s="8"/>
    </row>
    <row r="1046" spans="24:26">
      <c r="X1046" s="8"/>
      <c r="Z1046" s="8"/>
    </row>
    <row r="1047" spans="24:26">
      <c r="X1047" s="8"/>
      <c r="Z1047" s="8"/>
    </row>
    <row r="1048" spans="24:26">
      <c r="X1048" s="8"/>
      <c r="Z1048" s="8"/>
    </row>
    <row r="1049" spans="24:26">
      <c r="X1049" s="8"/>
      <c r="Z1049" s="8"/>
    </row>
    <row r="1050" spans="24:26">
      <c r="X1050" s="8"/>
      <c r="Z1050" s="8"/>
    </row>
    <row r="1051" spans="24:26">
      <c r="X1051" s="8"/>
      <c r="Z1051" s="8"/>
    </row>
    <row r="1052" spans="24:26">
      <c r="X1052" s="8"/>
      <c r="Z1052" s="8"/>
    </row>
    <row r="1053" spans="24:26">
      <c r="X1053" s="8"/>
      <c r="Z1053" s="8"/>
    </row>
    <row r="1054" spans="24:26">
      <c r="X1054" s="8"/>
      <c r="Z1054" s="8"/>
    </row>
    <row r="1055" spans="24:26">
      <c r="X1055" s="8"/>
      <c r="Z1055" s="8"/>
    </row>
    <row r="1056" spans="24:26">
      <c r="X1056" s="8"/>
      <c r="Z1056" s="8"/>
    </row>
    <row r="1057" spans="24:26">
      <c r="X1057" s="8"/>
      <c r="Z1057" s="8"/>
    </row>
    <row r="1058" spans="24:26">
      <c r="X1058" s="8"/>
      <c r="Z1058" s="8"/>
    </row>
    <row r="1059" spans="24:26">
      <c r="X1059" s="8"/>
      <c r="Z1059" s="8"/>
    </row>
    <row r="1060" spans="24:26">
      <c r="X1060" s="8"/>
      <c r="Z1060" s="8"/>
    </row>
    <row r="1061" spans="24:26">
      <c r="X1061" s="8"/>
      <c r="Z1061" s="8"/>
    </row>
    <row r="1062" spans="24:26">
      <c r="X1062" s="8"/>
      <c r="Z1062" s="8"/>
    </row>
    <row r="1063" spans="24:26">
      <c r="X1063" s="8"/>
      <c r="Z1063" s="8"/>
    </row>
    <row r="1064" spans="24:26">
      <c r="X1064" s="8"/>
      <c r="Z1064" s="8"/>
    </row>
    <row r="1065" spans="24:26">
      <c r="X1065" s="8"/>
      <c r="Z1065" s="8"/>
    </row>
    <row r="1066" spans="24:26">
      <c r="X1066" s="8"/>
      <c r="Z1066" s="8"/>
    </row>
    <row r="1067" spans="24:26">
      <c r="X1067" s="8"/>
      <c r="Z1067" s="8"/>
    </row>
    <row r="1068" spans="24:26">
      <c r="X1068" s="8"/>
      <c r="Z1068" s="8"/>
    </row>
    <row r="1069" spans="24:26">
      <c r="X1069" s="8"/>
      <c r="Z1069" s="8"/>
    </row>
    <row r="1070" spans="24:26">
      <c r="X1070" s="8"/>
      <c r="Z1070" s="8"/>
    </row>
    <row r="1071" spans="24:26">
      <c r="X1071" s="8"/>
      <c r="Z1071" s="8"/>
    </row>
    <row r="1072" spans="24:26">
      <c r="X1072" s="8"/>
      <c r="Z1072" s="8"/>
    </row>
    <row r="1073" spans="24:26">
      <c r="X1073" s="8"/>
      <c r="Z1073" s="8"/>
    </row>
    <row r="1074" spans="24:26">
      <c r="X1074" s="8"/>
      <c r="Z1074" s="8"/>
    </row>
    <row r="1075" spans="24:26">
      <c r="X1075" s="8"/>
      <c r="Z1075" s="8"/>
    </row>
    <row r="1076" spans="24:26">
      <c r="X1076" s="8"/>
      <c r="Z1076" s="8"/>
    </row>
    <row r="1077" spans="24:26">
      <c r="X1077" s="8"/>
      <c r="Z1077" s="8"/>
    </row>
    <row r="1078" spans="24:26">
      <c r="X1078" s="8"/>
      <c r="Z1078" s="8"/>
    </row>
    <row r="1079" spans="24:26">
      <c r="X1079" s="8"/>
      <c r="Z1079" s="8"/>
    </row>
    <row r="1080" spans="24:26">
      <c r="X1080" s="8"/>
      <c r="Z1080" s="8"/>
    </row>
    <row r="1081" spans="24:26">
      <c r="X1081" s="8"/>
      <c r="Z1081" s="8"/>
    </row>
    <row r="1082" spans="24:26">
      <c r="X1082" s="8"/>
      <c r="Z1082" s="8"/>
    </row>
    <row r="1083" spans="24:26">
      <c r="X1083" s="8"/>
      <c r="Z1083" s="8"/>
    </row>
    <row r="1084" spans="24:26">
      <c r="X1084" s="8"/>
      <c r="Z1084" s="8"/>
    </row>
    <row r="1085" spans="24:26">
      <c r="X1085" s="8"/>
      <c r="Z1085" s="8"/>
    </row>
    <row r="1086" spans="24:26">
      <c r="X1086" s="8"/>
      <c r="Z1086" s="8"/>
    </row>
    <row r="1087" spans="24:26">
      <c r="X1087" s="8"/>
      <c r="Z1087" s="8"/>
    </row>
    <row r="1088" spans="24:26">
      <c r="X1088" s="8"/>
      <c r="Z1088" s="8"/>
    </row>
    <row r="1089" spans="24:26">
      <c r="X1089" s="8"/>
      <c r="Z1089" s="8"/>
    </row>
    <row r="1090" spans="24:26">
      <c r="X1090" s="8"/>
      <c r="Z1090" s="8"/>
    </row>
    <row r="1091" spans="24:26">
      <c r="X1091" s="8"/>
      <c r="Z1091" s="8"/>
    </row>
    <row r="1092" spans="24:26">
      <c r="X1092" s="8"/>
      <c r="Z1092" s="8"/>
    </row>
    <row r="1093" spans="24:26">
      <c r="X1093" s="8"/>
      <c r="Z1093" s="8"/>
    </row>
    <row r="1094" spans="24:26">
      <c r="X1094" s="8"/>
      <c r="Z1094" s="8"/>
    </row>
    <row r="1095" spans="24:26">
      <c r="X1095" s="8"/>
      <c r="Z1095" s="8"/>
    </row>
    <row r="1096" spans="24:26">
      <c r="X1096" s="8"/>
      <c r="Z1096" s="8"/>
    </row>
    <row r="1097" spans="24:26">
      <c r="X1097" s="8"/>
      <c r="Z1097" s="8"/>
    </row>
    <row r="1098" spans="24:26">
      <c r="X1098" s="8"/>
      <c r="Z1098" s="8"/>
    </row>
    <row r="1099" spans="24:26">
      <c r="X1099" s="8"/>
      <c r="Z1099" s="8"/>
    </row>
    <row r="1100" spans="24:26">
      <c r="X1100" s="8"/>
      <c r="Z1100" s="8"/>
    </row>
    <row r="1101" spans="24:26">
      <c r="X1101" s="8"/>
      <c r="Z1101" s="8"/>
    </row>
    <row r="1102" spans="24:26">
      <c r="X1102" s="8"/>
      <c r="Z1102" s="8"/>
    </row>
    <row r="1103" spans="24:26">
      <c r="X1103" s="8"/>
      <c r="Z1103" s="8"/>
    </row>
    <row r="1104" spans="24:26">
      <c r="X1104" s="8"/>
      <c r="Z1104" s="8"/>
    </row>
    <row r="1105" spans="24:26">
      <c r="X1105" s="8"/>
      <c r="Z1105" s="8"/>
    </row>
    <row r="1106" spans="24:26">
      <c r="X1106" s="8"/>
      <c r="Z1106" s="8"/>
    </row>
    <row r="1107" spans="24:26">
      <c r="X1107" s="8"/>
      <c r="Z1107" s="8"/>
    </row>
    <row r="1108" spans="24:26">
      <c r="X1108" s="8"/>
      <c r="Z1108" s="8"/>
    </row>
    <row r="1109" spans="24:26">
      <c r="X1109" s="8"/>
      <c r="Z1109" s="8"/>
    </row>
    <row r="1110" spans="24:26">
      <c r="X1110" s="8"/>
      <c r="Z1110" s="8"/>
    </row>
    <row r="1111" spans="24:26">
      <c r="X1111" s="8"/>
      <c r="Z1111" s="8"/>
    </row>
    <row r="1112" spans="24:26">
      <c r="X1112" s="8"/>
      <c r="Z1112" s="8"/>
    </row>
    <row r="1113" spans="24:26">
      <c r="X1113" s="8"/>
      <c r="Z1113" s="8"/>
    </row>
    <row r="1114" spans="24:26">
      <c r="X1114" s="8"/>
      <c r="Z1114" s="8"/>
    </row>
    <row r="1115" spans="24:26">
      <c r="X1115" s="8"/>
      <c r="Z1115" s="8"/>
    </row>
    <row r="1116" spans="24:26">
      <c r="X1116" s="8"/>
      <c r="Z1116" s="8"/>
    </row>
    <row r="1117" spans="24:26">
      <c r="X1117" s="8"/>
      <c r="Z1117" s="8"/>
    </row>
    <row r="1118" spans="24:26">
      <c r="X1118" s="8"/>
      <c r="Z1118" s="8"/>
    </row>
    <row r="1119" spans="24:26">
      <c r="X1119" s="8"/>
      <c r="Z1119" s="8"/>
    </row>
    <row r="1120" spans="24:26">
      <c r="X1120" s="8"/>
      <c r="Z1120" s="8"/>
    </row>
    <row r="1121" spans="24:26">
      <c r="X1121" s="8"/>
      <c r="Z1121" s="8"/>
    </row>
    <row r="1122" spans="24:26">
      <c r="X1122" s="8"/>
      <c r="Z1122" s="8"/>
    </row>
    <row r="1123" spans="24:26">
      <c r="X1123" s="8"/>
      <c r="Z1123" s="8"/>
    </row>
    <row r="1124" spans="24:26">
      <c r="X1124" s="8"/>
      <c r="Z1124" s="8"/>
    </row>
    <row r="1125" spans="24:26">
      <c r="X1125" s="8"/>
      <c r="Z1125" s="8"/>
    </row>
    <row r="1126" spans="24:26">
      <c r="X1126" s="8"/>
      <c r="Z1126" s="8"/>
    </row>
    <row r="1127" spans="24:26">
      <c r="X1127" s="8"/>
      <c r="Z1127" s="8"/>
    </row>
    <row r="1128" spans="24:26">
      <c r="X1128" s="8"/>
      <c r="Z1128" s="8"/>
    </row>
    <row r="1129" spans="24:26">
      <c r="X1129" s="8"/>
      <c r="Z1129" s="8"/>
    </row>
    <row r="1130" spans="24:26">
      <c r="X1130" s="8"/>
      <c r="Z1130" s="8"/>
    </row>
    <row r="1131" spans="24:26">
      <c r="X1131" s="8"/>
      <c r="Z1131" s="8"/>
    </row>
    <row r="1132" spans="24:26">
      <c r="X1132" s="8"/>
      <c r="Z1132" s="8"/>
    </row>
    <row r="1133" spans="24:26">
      <c r="X1133" s="8"/>
      <c r="Z1133" s="8"/>
    </row>
    <row r="1134" spans="24:26">
      <c r="X1134" s="8"/>
      <c r="Z1134" s="8"/>
    </row>
    <row r="1135" spans="24:26">
      <c r="X1135" s="8"/>
      <c r="Z1135" s="8"/>
    </row>
    <row r="1136" spans="24:26">
      <c r="X1136" s="8"/>
      <c r="Z1136" s="8"/>
    </row>
    <row r="1137" spans="24:26">
      <c r="X1137" s="8"/>
      <c r="Z1137" s="8"/>
    </row>
    <row r="1138" spans="24:26">
      <c r="X1138" s="8"/>
      <c r="Z1138" s="8"/>
    </row>
    <row r="1139" spans="24:26">
      <c r="X1139" s="8"/>
      <c r="Z1139" s="8"/>
    </row>
    <row r="1140" spans="24:26">
      <c r="X1140" s="8"/>
      <c r="Z1140" s="8"/>
    </row>
    <row r="1141" spans="24:26">
      <c r="X1141" s="8"/>
      <c r="Z1141" s="8"/>
    </row>
    <row r="1142" spans="24:26">
      <c r="X1142" s="8"/>
      <c r="Z1142" s="8"/>
    </row>
    <row r="1143" spans="24:26">
      <c r="X1143" s="8"/>
      <c r="Z1143" s="8"/>
    </row>
    <row r="1144" spans="24:26">
      <c r="X1144" s="8"/>
      <c r="Z1144" s="8"/>
    </row>
    <row r="1145" spans="24:26">
      <c r="X1145" s="8"/>
      <c r="Z1145" s="8"/>
    </row>
    <row r="1146" spans="24:26">
      <c r="X1146" s="8"/>
      <c r="Z1146" s="8"/>
    </row>
    <row r="1147" spans="24:26">
      <c r="X1147" s="8"/>
      <c r="Z1147" s="8"/>
    </row>
    <row r="1148" spans="24:26">
      <c r="X1148" s="8"/>
      <c r="Z1148" s="8"/>
    </row>
    <row r="1149" spans="24:26">
      <c r="X1149" s="8"/>
      <c r="Z1149" s="8"/>
    </row>
    <row r="1150" spans="24:26">
      <c r="X1150" s="8"/>
      <c r="Z1150" s="8"/>
    </row>
    <row r="1151" spans="24:26">
      <c r="X1151" s="8"/>
      <c r="Z1151" s="8"/>
    </row>
    <row r="1152" spans="24:26">
      <c r="X1152" s="8"/>
      <c r="Z1152" s="8"/>
    </row>
    <row r="1153" spans="24:26">
      <c r="X1153" s="8"/>
      <c r="Z1153" s="8"/>
    </row>
    <row r="1154" spans="24:26">
      <c r="X1154" s="8"/>
      <c r="Z1154" s="8"/>
    </row>
    <row r="1155" spans="24:26">
      <c r="X1155" s="8"/>
      <c r="Z1155" s="8"/>
    </row>
    <row r="1156" spans="24:26">
      <c r="X1156" s="8"/>
      <c r="Z1156" s="8"/>
    </row>
    <row r="1157" spans="24:26">
      <c r="X1157" s="8"/>
      <c r="Z1157" s="8"/>
    </row>
    <row r="1158" spans="24:26">
      <c r="X1158" s="8"/>
      <c r="Z1158" s="8"/>
    </row>
    <row r="1159" spans="24:26">
      <c r="X1159" s="8"/>
      <c r="Z1159" s="8"/>
    </row>
    <row r="1160" spans="24:26">
      <c r="X1160" s="8"/>
      <c r="Z1160" s="8"/>
    </row>
    <row r="1161" spans="24:26">
      <c r="X1161" s="8"/>
      <c r="Z1161" s="8"/>
    </row>
    <row r="1162" spans="24:26">
      <c r="X1162" s="8"/>
      <c r="Z1162" s="8"/>
    </row>
    <row r="1163" spans="24:26">
      <c r="X1163" s="8"/>
      <c r="Z1163" s="8"/>
    </row>
    <row r="1164" spans="24:26">
      <c r="X1164" s="8"/>
      <c r="Z1164" s="8"/>
    </row>
    <row r="1165" spans="24:26">
      <c r="X1165" s="8"/>
      <c r="Z1165" s="8"/>
    </row>
    <row r="1166" spans="24:26">
      <c r="X1166" s="8"/>
      <c r="Z1166" s="8"/>
    </row>
    <row r="1167" spans="24:26">
      <c r="X1167" s="8"/>
      <c r="Z1167" s="8"/>
    </row>
    <row r="1168" spans="24:26">
      <c r="X1168" s="8"/>
      <c r="Z1168" s="8"/>
    </row>
    <row r="1169" spans="24:26">
      <c r="X1169" s="8"/>
      <c r="Z1169" s="8"/>
    </row>
    <row r="1170" spans="24:26">
      <c r="X1170" s="8"/>
      <c r="Z1170" s="8"/>
    </row>
    <row r="1171" spans="24:26">
      <c r="X1171" s="8"/>
      <c r="Z1171" s="8"/>
    </row>
    <row r="1172" spans="24:26">
      <c r="X1172" s="8"/>
      <c r="Z1172" s="8"/>
    </row>
    <row r="1173" spans="24:26">
      <c r="X1173" s="8"/>
      <c r="Z1173" s="8"/>
    </row>
    <row r="1174" spans="24:26">
      <c r="X1174" s="8"/>
      <c r="Z1174" s="8"/>
    </row>
    <row r="1175" spans="24:26">
      <c r="X1175" s="8"/>
      <c r="Z1175" s="8"/>
    </row>
    <row r="1176" spans="24:26">
      <c r="X1176" s="8"/>
      <c r="Z1176" s="8"/>
    </row>
    <row r="1177" spans="24:26">
      <c r="X1177" s="8"/>
      <c r="Z1177" s="8"/>
    </row>
    <row r="1178" spans="24:26">
      <c r="X1178" s="8"/>
      <c r="Z1178" s="8"/>
    </row>
    <row r="1179" spans="24:26">
      <c r="X1179" s="8"/>
      <c r="Z1179" s="8"/>
    </row>
    <row r="1180" spans="24:26">
      <c r="X1180" s="8"/>
      <c r="Z1180" s="8"/>
    </row>
    <row r="1181" spans="24:26">
      <c r="X1181" s="8"/>
      <c r="Z1181" s="8"/>
    </row>
    <row r="1182" spans="24:26">
      <c r="X1182" s="8"/>
      <c r="Z1182" s="8"/>
    </row>
    <row r="1183" spans="24:26">
      <c r="X1183" s="8"/>
      <c r="Z1183" s="8"/>
    </row>
    <row r="1184" spans="24:26">
      <c r="X1184" s="8"/>
      <c r="Z1184" s="8"/>
    </row>
    <row r="1185" spans="24:26">
      <c r="X1185" s="8"/>
      <c r="Z1185" s="8"/>
    </row>
    <row r="1186" spans="24:26">
      <c r="X1186" s="8"/>
      <c r="Z1186" s="8"/>
    </row>
    <row r="1187" spans="24:26">
      <c r="X1187" s="8"/>
      <c r="Z1187" s="8"/>
    </row>
    <row r="1188" spans="24:26">
      <c r="X1188" s="8"/>
      <c r="Z1188" s="8"/>
    </row>
    <row r="1189" spans="24:26">
      <c r="X1189" s="8"/>
      <c r="Z1189" s="8"/>
    </row>
    <row r="1190" spans="24:26">
      <c r="X1190" s="8"/>
      <c r="Z1190" s="8"/>
    </row>
    <row r="1191" spans="24:26">
      <c r="X1191" s="8"/>
      <c r="Z1191" s="8"/>
    </row>
    <row r="1192" spans="24:26">
      <c r="X1192" s="8"/>
      <c r="Z1192" s="8"/>
    </row>
    <row r="1193" spans="24:26">
      <c r="X1193" s="8"/>
      <c r="Z1193" s="8"/>
    </row>
    <row r="1194" spans="24:26">
      <c r="X1194" s="8"/>
      <c r="Z1194" s="8"/>
    </row>
    <row r="1195" spans="24:26">
      <c r="X1195" s="8"/>
      <c r="Z1195" s="8"/>
    </row>
    <row r="1196" spans="24:26">
      <c r="X1196" s="8"/>
      <c r="Z1196" s="8"/>
    </row>
    <row r="1197" spans="24:26">
      <c r="X1197" s="8"/>
      <c r="Z1197" s="8"/>
    </row>
    <row r="1198" spans="24:26">
      <c r="X1198" s="8"/>
      <c r="Z1198" s="8"/>
    </row>
    <row r="1199" spans="24:26">
      <c r="X1199" s="8"/>
      <c r="Z1199" s="8"/>
    </row>
    <row r="1200" spans="24:26">
      <c r="X1200" s="8"/>
      <c r="Z1200" s="8"/>
    </row>
    <row r="1201" spans="24:26">
      <c r="X1201" s="8"/>
      <c r="Z1201" s="8"/>
    </row>
    <row r="1202" spans="24:26">
      <c r="X1202" s="8"/>
      <c r="Z1202" s="8"/>
    </row>
    <row r="1203" spans="24:26">
      <c r="X1203" s="8"/>
      <c r="Z1203" s="8"/>
    </row>
    <row r="1204" spans="24:26">
      <c r="X1204" s="8"/>
      <c r="Z1204" s="8"/>
    </row>
    <row r="1205" spans="24:26">
      <c r="X1205" s="8"/>
      <c r="Z1205" s="8"/>
    </row>
    <row r="1206" spans="24:26">
      <c r="X1206" s="8"/>
      <c r="Z1206" s="8"/>
    </row>
    <row r="1207" spans="24:26">
      <c r="X1207" s="8"/>
      <c r="Z1207" s="8"/>
    </row>
    <row r="1208" spans="24:26">
      <c r="X1208" s="8"/>
      <c r="Z1208" s="8"/>
    </row>
    <row r="1209" spans="24:26">
      <c r="X1209" s="8"/>
      <c r="Z1209" s="8"/>
    </row>
    <row r="1210" spans="24:26">
      <c r="X1210" s="8"/>
      <c r="Z1210" s="8"/>
    </row>
    <row r="1211" spans="24:26">
      <c r="X1211" s="8"/>
      <c r="Z1211" s="8"/>
    </row>
    <row r="1212" spans="24:26">
      <c r="X1212" s="8"/>
      <c r="Z1212" s="8"/>
    </row>
    <row r="1213" spans="24:26">
      <c r="X1213" s="8"/>
      <c r="Z1213" s="8"/>
    </row>
    <row r="1214" spans="24:26">
      <c r="X1214" s="8"/>
      <c r="Z1214" s="8"/>
    </row>
    <row r="1215" spans="24:26">
      <c r="X1215" s="8"/>
      <c r="Z1215" s="8"/>
    </row>
    <row r="1216" spans="24:26">
      <c r="X1216" s="8"/>
      <c r="Z1216" s="8"/>
    </row>
    <row r="1217" spans="24:26">
      <c r="X1217" s="8"/>
      <c r="Z1217" s="8"/>
    </row>
    <row r="1218" spans="24:26">
      <c r="X1218" s="8"/>
      <c r="Z1218" s="8"/>
    </row>
    <row r="1219" spans="24:26">
      <c r="X1219" s="8"/>
      <c r="Z1219" s="8"/>
    </row>
    <row r="1220" spans="24:26">
      <c r="X1220" s="8"/>
      <c r="Z1220" s="8"/>
    </row>
    <row r="1221" spans="24:26">
      <c r="X1221" s="8"/>
      <c r="Z1221" s="8"/>
    </row>
    <row r="1222" spans="24:26">
      <c r="X1222" s="8"/>
      <c r="Z1222" s="8"/>
    </row>
    <row r="1223" spans="24:26">
      <c r="X1223" s="8"/>
      <c r="Z1223" s="8"/>
    </row>
    <row r="1224" spans="24:26">
      <c r="X1224" s="8"/>
      <c r="Z1224" s="8"/>
    </row>
    <row r="1225" spans="24:26">
      <c r="X1225" s="8"/>
      <c r="Z1225" s="8"/>
    </row>
    <row r="1226" spans="24:26">
      <c r="X1226" s="8"/>
      <c r="Z1226" s="8"/>
    </row>
    <row r="1227" spans="24:26">
      <c r="X1227" s="8"/>
      <c r="Z1227" s="8"/>
    </row>
    <row r="1228" spans="24:26">
      <c r="X1228" s="8"/>
      <c r="Z1228" s="8"/>
    </row>
    <row r="1229" spans="24:26">
      <c r="X1229" s="8"/>
      <c r="Z1229" s="8"/>
    </row>
    <row r="1230" spans="24:26">
      <c r="X1230" s="8"/>
      <c r="Z1230" s="8"/>
    </row>
    <row r="1231" spans="24:26">
      <c r="X1231" s="8"/>
      <c r="Z1231" s="8"/>
    </row>
    <row r="1232" spans="24:26">
      <c r="X1232" s="8"/>
      <c r="Z1232" s="8"/>
    </row>
    <row r="1233" spans="24:26">
      <c r="X1233" s="8"/>
      <c r="Z1233" s="8"/>
    </row>
    <row r="1234" spans="24:26">
      <c r="X1234" s="8"/>
      <c r="Z1234" s="8"/>
    </row>
    <row r="1235" spans="24:26">
      <c r="X1235" s="8"/>
      <c r="Z1235" s="8"/>
    </row>
    <row r="1236" spans="24:26">
      <c r="X1236" s="8"/>
      <c r="Z1236" s="8"/>
    </row>
    <row r="1237" spans="24:26">
      <c r="X1237" s="8"/>
      <c r="Z1237" s="8"/>
    </row>
    <row r="1238" spans="24:26">
      <c r="X1238" s="8"/>
      <c r="Z1238" s="8"/>
    </row>
    <row r="1239" spans="24:26">
      <c r="X1239" s="8"/>
      <c r="Z1239" s="8"/>
    </row>
    <row r="1240" spans="24:26">
      <c r="X1240" s="8"/>
      <c r="Z1240" s="8"/>
    </row>
    <row r="1241" spans="24:26">
      <c r="X1241" s="8"/>
      <c r="Z1241" s="8"/>
    </row>
    <row r="1242" spans="24:26">
      <c r="X1242" s="8"/>
      <c r="Z1242" s="8"/>
    </row>
    <row r="1243" spans="24:26">
      <c r="X1243" s="8"/>
      <c r="Z1243" s="8"/>
    </row>
    <row r="1244" spans="24:26">
      <c r="X1244" s="8"/>
      <c r="Z1244" s="8"/>
    </row>
    <row r="1245" spans="24:26">
      <c r="X1245" s="8"/>
      <c r="Z1245" s="8"/>
    </row>
    <row r="1246" spans="24:26">
      <c r="X1246" s="8"/>
      <c r="Z1246" s="8"/>
    </row>
    <row r="1247" spans="24:26">
      <c r="X1247" s="8"/>
      <c r="Z1247" s="8"/>
    </row>
    <row r="1248" spans="24:26">
      <c r="X1248" s="8"/>
      <c r="Z1248" s="8"/>
    </row>
    <row r="1249" spans="24:26">
      <c r="X1249" s="8"/>
      <c r="Z1249" s="8"/>
    </row>
    <row r="1250" spans="24:26">
      <c r="X1250" s="8"/>
      <c r="Z1250" s="8"/>
    </row>
    <row r="1251" spans="24:26">
      <c r="X1251" s="8"/>
      <c r="Z1251" s="8"/>
    </row>
    <row r="1252" spans="24:26">
      <c r="X1252" s="8"/>
      <c r="Z1252" s="8"/>
    </row>
    <row r="1253" spans="24:26">
      <c r="X1253" s="8"/>
      <c r="Z1253" s="8"/>
    </row>
    <row r="1254" spans="24:26">
      <c r="X1254" s="8"/>
      <c r="Z1254" s="8"/>
    </row>
    <row r="1255" spans="24:26">
      <c r="X1255" s="8"/>
      <c r="Z1255" s="8"/>
    </row>
    <row r="1256" spans="24:26">
      <c r="X1256" s="8"/>
      <c r="Z1256" s="8"/>
    </row>
    <row r="1257" spans="24:26">
      <c r="X1257" s="8"/>
      <c r="Z1257" s="8"/>
    </row>
    <row r="1258" spans="24:26">
      <c r="X1258" s="8"/>
      <c r="Z1258" s="8"/>
    </row>
    <row r="1259" spans="24:26">
      <c r="X1259" s="8"/>
      <c r="Z1259" s="8"/>
    </row>
    <row r="1260" spans="24:26">
      <c r="X1260" s="8"/>
      <c r="Z1260" s="8"/>
    </row>
    <row r="1261" spans="24:26">
      <c r="X1261" s="8"/>
      <c r="Z1261" s="8"/>
    </row>
    <row r="1262" spans="24:26">
      <c r="X1262" s="8"/>
      <c r="Z1262" s="8"/>
    </row>
    <row r="1263" spans="24:26">
      <c r="X1263" s="8"/>
      <c r="Z1263" s="8"/>
    </row>
    <row r="1264" spans="24:26">
      <c r="X1264" s="8"/>
      <c r="Z1264" s="8"/>
    </row>
    <row r="1265" spans="24:26">
      <c r="X1265" s="8"/>
      <c r="Z1265" s="8"/>
    </row>
    <row r="1266" spans="24:26">
      <c r="X1266" s="8"/>
      <c r="Z1266" s="8"/>
    </row>
    <row r="1267" spans="24:26">
      <c r="X1267" s="8"/>
      <c r="Z1267" s="8"/>
    </row>
    <row r="1268" spans="24:26">
      <c r="X1268" s="8"/>
      <c r="Z1268" s="8"/>
    </row>
    <row r="1269" spans="24:26">
      <c r="X1269" s="8"/>
      <c r="Z1269" s="8"/>
    </row>
    <row r="1270" spans="24:26">
      <c r="X1270" s="8"/>
      <c r="Z1270" s="8"/>
    </row>
    <row r="1271" spans="24:26">
      <c r="X1271" s="8"/>
      <c r="Z1271" s="8"/>
    </row>
    <row r="1272" spans="24:26">
      <c r="X1272" s="8"/>
      <c r="Z1272" s="8"/>
    </row>
    <row r="1273" spans="24:26">
      <c r="X1273" s="8"/>
      <c r="Z1273" s="8"/>
    </row>
    <row r="1274" spans="24:26">
      <c r="X1274" s="8"/>
      <c r="Z1274" s="8"/>
    </row>
    <row r="1275" spans="24:26">
      <c r="X1275" s="8"/>
      <c r="Z1275" s="8"/>
    </row>
    <row r="1276" spans="24:26">
      <c r="X1276" s="8"/>
      <c r="Z1276" s="8"/>
    </row>
    <row r="1277" spans="24:26">
      <c r="X1277" s="8"/>
      <c r="Z1277" s="8"/>
    </row>
    <row r="1278" spans="24:26">
      <c r="X1278" s="8"/>
      <c r="Z1278" s="8"/>
    </row>
    <row r="1279" spans="24:26">
      <c r="X1279" s="8"/>
      <c r="Z1279" s="8"/>
    </row>
    <row r="1280" spans="24:26">
      <c r="X1280" s="8"/>
      <c r="Z1280" s="8"/>
    </row>
    <row r="1281" spans="24:26">
      <c r="X1281" s="8"/>
      <c r="Z1281" s="8"/>
    </row>
    <row r="1282" spans="24:26">
      <c r="X1282" s="8"/>
      <c r="Z1282" s="8"/>
    </row>
    <row r="1283" spans="24:26">
      <c r="X1283" s="8"/>
      <c r="Z1283" s="8"/>
    </row>
    <row r="1284" spans="24:26">
      <c r="X1284" s="8"/>
      <c r="Z1284" s="8"/>
    </row>
    <row r="1285" spans="24:26">
      <c r="X1285" s="8"/>
      <c r="Z1285" s="8"/>
    </row>
    <row r="1286" spans="24:26">
      <c r="X1286" s="8"/>
      <c r="Z1286" s="8"/>
    </row>
    <row r="1287" spans="24:26">
      <c r="X1287" s="8"/>
      <c r="Z1287" s="8"/>
    </row>
    <row r="1288" spans="24:26">
      <c r="X1288" s="8"/>
      <c r="Z1288" s="8"/>
    </row>
    <row r="1289" spans="24:26">
      <c r="X1289" s="8"/>
      <c r="Z1289" s="8"/>
    </row>
    <row r="1290" spans="24:26">
      <c r="X1290" s="8"/>
      <c r="Z1290" s="8"/>
    </row>
    <row r="1291" spans="24:26">
      <c r="X1291" s="8"/>
      <c r="Z1291" s="8"/>
    </row>
    <row r="1292" spans="24:26">
      <c r="X1292" s="8"/>
      <c r="Z1292" s="8"/>
    </row>
    <row r="1293" spans="24:26">
      <c r="X1293" s="8"/>
      <c r="Z1293" s="8"/>
    </row>
    <row r="1294" spans="24:26">
      <c r="X1294" s="8"/>
      <c r="Z1294" s="8"/>
    </row>
    <row r="1295" spans="24:26">
      <c r="X1295" s="8"/>
      <c r="Z1295" s="8"/>
    </row>
    <row r="1296" spans="24:26">
      <c r="X1296" s="8"/>
      <c r="Z1296" s="8"/>
    </row>
    <row r="1297" spans="24:26">
      <c r="X1297" s="8"/>
      <c r="Z1297" s="8"/>
    </row>
    <row r="1298" spans="24:26">
      <c r="X1298" s="8"/>
      <c r="Z1298" s="8"/>
    </row>
    <row r="1299" spans="24:26">
      <c r="X1299" s="8"/>
      <c r="Z1299" s="8"/>
    </row>
    <row r="1300" spans="24:26">
      <c r="X1300" s="8"/>
      <c r="Z1300" s="8"/>
    </row>
    <row r="1301" spans="24:26">
      <c r="X1301" s="8"/>
      <c r="Z1301" s="8"/>
    </row>
    <row r="1302" spans="24:26">
      <c r="X1302" s="8"/>
      <c r="Z1302" s="8"/>
    </row>
    <row r="1303" spans="24:26">
      <c r="X1303" s="8"/>
      <c r="Z1303" s="8"/>
    </row>
    <row r="1304" spans="24:26">
      <c r="X1304" s="8"/>
      <c r="Z1304" s="8"/>
    </row>
    <row r="1305" spans="24:26">
      <c r="X1305" s="8"/>
      <c r="Z1305" s="8"/>
    </row>
    <row r="1306" spans="24:26">
      <c r="X1306" s="8"/>
      <c r="Z1306" s="8"/>
    </row>
    <row r="1307" spans="24:26">
      <c r="X1307" s="8"/>
      <c r="Z1307" s="8"/>
    </row>
    <row r="1308" spans="24:26">
      <c r="X1308" s="8"/>
      <c r="Z1308" s="8"/>
    </row>
    <row r="1309" spans="24:26">
      <c r="X1309" s="8"/>
      <c r="Z1309" s="8"/>
    </row>
    <row r="1310" spans="24:26">
      <c r="X1310" s="8"/>
      <c r="Z1310" s="8"/>
    </row>
    <row r="1311" spans="24:26">
      <c r="X1311" s="8"/>
      <c r="Z1311" s="8"/>
    </row>
    <row r="1312" spans="24:26">
      <c r="X1312" s="8"/>
      <c r="Z1312" s="8"/>
    </row>
    <row r="1313" spans="24:26">
      <c r="X1313" s="8"/>
      <c r="Z1313" s="8"/>
    </row>
    <row r="1314" spans="24:26">
      <c r="X1314" s="8"/>
      <c r="Z1314" s="8"/>
    </row>
    <row r="1315" spans="24:26">
      <c r="X1315" s="8"/>
      <c r="Z1315" s="8"/>
    </row>
    <row r="1316" spans="24:26">
      <c r="X1316" s="8"/>
      <c r="Z1316" s="8"/>
    </row>
    <row r="1317" spans="24:26">
      <c r="X1317" s="8"/>
      <c r="Z1317" s="8"/>
    </row>
    <row r="1318" spans="24:26">
      <c r="X1318" s="8"/>
      <c r="Z1318" s="8"/>
    </row>
    <row r="1319" spans="24:26">
      <c r="X1319" s="8"/>
      <c r="Z1319" s="8"/>
    </row>
    <row r="1320" spans="24:26">
      <c r="X1320" s="8"/>
      <c r="Z1320" s="8"/>
    </row>
    <row r="1321" spans="24:26">
      <c r="X1321" s="8"/>
      <c r="Z1321" s="8"/>
    </row>
    <row r="1322" spans="24:26">
      <c r="X1322" s="8"/>
      <c r="Z1322" s="8"/>
    </row>
    <row r="1323" spans="24:26">
      <c r="X1323" s="8"/>
      <c r="Z1323" s="8"/>
    </row>
    <row r="1324" spans="24:26">
      <c r="X1324" s="8"/>
      <c r="Z1324" s="8"/>
    </row>
    <row r="1325" spans="24:26">
      <c r="X1325" s="8"/>
      <c r="Z1325" s="8"/>
    </row>
    <row r="1326" spans="24:26">
      <c r="X1326" s="8"/>
      <c r="Z1326" s="8"/>
    </row>
    <row r="1327" spans="24:26">
      <c r="X1327" s="8"/>
      <c r="Z1327" s="8"/>
    </row>
    <row r="1328" spans="24:26">
      <c r="X1328" s="8"/>
      <c r="Z1328" s="8"/>
    </row>
    <row r="1329" spans="24:26">
      <c r="X1329" s="8"/>
      <c r="Z1329" s="8"/>
    </row>
    <row r="1330" spans="24:26">
      <c r="X1330" s="8"/>
      <c r="Z1330" s="8"/>
    </row>
    <row r="1331" spans="24:26">
      <c r="X1331" s="8"/>
      <c r="Z1331" s="8"/>
    </row>
    <row r="1332" spans="24:26">
      <c r="X1332" s="8"/>
      <c r="Z1332" s="8"/>
    </row>
    <row r="1333" spans="24:26">
      <c r="X1333" s="8"/>
      <c r="Z1333" s="8"/>
    </row>
    <row r="1334" spans="24:26">
      <c r="X1334" s="8"/>
      <c r="Z1334" s="8"/>
    </row>
    <row r="1335" spans="24:26">
      <c r="X1335" s="8"/>
      <c r="Z1335" s="8"/>
    </row>
    <row r="1336" spans="24:26">
      <c r="X1336" s="8"/>
      <c r="Z1336" s="8"/>
    </row>
    <row r="1337" spans="24:26">
      <c r="X1337" s="8"/>
      <c r="Z1337" s="8"/>
    </row>
    <row r="1338" spans="24:26">
      <c r="X1338" s="8"/>
      <c r="Z1338" s="8"/>
    </row>
    <row r="1339" spans="24:26">
      <c r="X1339" s="8"/>
      <c r="Z1339" s="8"/>
    </row>
    <row r="1340" spans="24:26">
      <c r="X1340" s="8"/>
      <c r="Z1340" s="8"/>
    </row>
    <row r="1341" spans="24:26">
      <c r="X1341" s="8"/>
      <c r="Z1341" s="8"/>
    </row>
    <row r="1342" spans="24:26">
      <c r="X1342" s="8"/>
      <c r="Z1342" s="8"/>
    </row>
    <row r="1343" spans="24:26">
      <c r="X1343" s="8"/>
      <c r="Z1343" s="8"/>
    </row>
    <row r="1344" spans="24:26">
      <c r="X1344" s="8"/>
      <c r="Z1344" s="8"/>
    </row>
    <row r="1345" spans="24:26">
      <c r="X1345" s="8"/>
      <c r="Z1345" s="8"/>
    </row>
    <row r="1346" spans="24:26">
      <c r="X1346" s="8"/>
      <c r="Z1346" s="8"/>
    </row>
    <row r="1347" spans="24:26">
      <c r="X1347" s="8"/>
      <c r="Z1347" s="8"/>
    </row>
    <row r="1348" spans="24:26">
      <c r="X1348" s="8"/>
      <c r="Z1348" s="8"/>
    </row>
    <row r="1349" spans="24:26">
      <c r="X1349" s="8"/>
      <c r="Z1349" s="8"/>
    </row>
    <row r="1350" spans="24:26">
      <c r="X1350" s="8"/>
      <c r="Z1350" s="8"/>
    </row>
    <row r="1351" spans="24:26">
      <c r="X1351" s="8"/>
      <c r="Z1351" s="8"/>
    </row>
    <row r="1352" spans="24:26">
      <c r="X1352" s="8"/>
      <c r="Z1352" s="8"/>
    </row>
    <row r="1353" spans="24:26">
      <c r="X1353" s="8"/>
      <c r="Z1353" s="8"/>
    </row>
    <row r="1354" spans="24:26">
      <c r="X1354" s="8"/>
      <c r="Z1354" s="8"/>
    </row>
    <row r="1355" spans="24:26">
      <c r="X1355" s="8"/>
      <c r="Z1355" s="8"/>
    </row>
    <row r="1356" spans="24:26">
      <c r="X1356" s="8"/>
      <c r="Z1356" s="8"/>
    </row>
    <row r="1357" spans="24:26">
      <c r="X1357" s="8"/>
      <c r="Z1357" s="8"/>
    </row>
    <row r="1358" spans="24:26">
      <c r="X1358" s="8"/>
      <c r="Z1358" s="8"/>
    </row>
    <row r="1359" spans="24:26">
      <c r="X1359" s="8"/>
      <c r="Z1359" s="8"/>
    </row>
    <row r="1360" spans="24:26">
      <c r="X1360" s="8"/>
      <c r="Z1360" s="8"/>
    </row>
    <row r="1361" spans="24:26">
      <c r="X1361" s="8"/>
      <c r="Z1361" s="8"/>
    </row>
    <row r="1362" spans="24:26">
      <c r="X1362" s="8"/>
      <c r="Z1362" s="8"/>
    </row>
    <row r="1363" spans="24:26">
      <c r="X1363" s="8"/>
      <c r="Z1363" s="8"/>
    </row>
    <row r="1364" spans="24:26">
      <c r="X1364" s="8"/>
      <c r="Z1364" s="8"/>
    </row>
    <row r="1365" spans="24:26">
      <c r="X1365" s="8"/>
      <c r="Z1365" s="8"/>
    </row>
    <row r="1366" spans="24:26">
      <c r="X1366" s="8"/>
      <c r="Z1366" s="8"/>
    </row>
    <row r="1367" spans="24:26">
      <c r="X1367" s="8"/>
      <c r="Z1367" s="8"/>
    </row>
    <row r="1368" spans="24:26">
      <c r="X1368" s="8"/>
      <c r="Z1368" s="8"/>
    </row>
    <row r="1369" spans="24:26">
      <c r="X1369" s="8"/>
      <c r="Z1369" s="8"/>
    </row>
    <row r="1370" spans="24:26">
      <c r="X1370" s="8"/>
      <c r="Z1370" s="8"/>
    </row>
    <row r="1371" spans="24:26">
      <c r="X1371" s="8"/>
      <c r="Z1371" s="8"/>
    </row>
    <row r="1372" spans="24:26">
      <c r="X1372" s="8"/>
      <c r="Z1372" s="8"/>
    </row>
    <row r="1373" spans="24:26">
      <c r="X1373" s="8"/>
      <c r="Z1373" s="8"/>
    </row>
    <row r="1374" spans="24:26">
      <c r="X1374" s="8"/>
      <c r="Z1374" s="8"/>
    </row>
    <row r="1375" spans="24:26">
      <c r="X1375" s="8"/>
      <c r="Z1375" s="8"/>
    </row>
    <row r="1376" spans="24:26">
      <c r="X1376" s="8"/>
      <c r="Z1376" s="8"/>
    </row>
    <row r="1377" spans="24:26">
      <c r="X1377" s="8"/>
      <c r="Z1377" s="8"/>
    </row>
    <row r="1378" spans="24:26">
      <c r="X1378" s="8"/>
      <c r="Z1378" s="8"/>
    </row>
    <row r="1379" spans="24:26">
      <c r="X1379" s="8"/>
      <c r="Z1379" s="8"/>
    </row>
    <row r="1380" spans="24:26">
      <c r="X1380" s="8"/>
      <c r="Z1380" s="8"/>
    </row>
    <row r="1381" spans="24:26">
      <c r="X1381" s="8"/>
      <c r="Z1381" s="8"/>
    </row>
    <row r="1382" spans="24:26">
      <c r="X1382" s="8"/>
      <c r="Z1382" s="8"/>
    </row>
    <row r="1383" spans="24:26">
      <c r="X1383" s="8"/>
      <c r="Z1383" s="8"/>
    </row>
    <row r="1384" spans="24:26">
      <c r="X1384" s="8"/>
      <c r="Z1384" s="8"/>
    </row>
    <row r="1385" spans="24:26">
      <c r="X1385" s="8"/>
      <c r="Z1385" s="8"/>
    </row>
    <row r="1386" spans="24:26">
      <c r="X1386" s="8"/>
      <c r="Z1386" s="8"/>
    </row>
    <row r="1387" spans="24:26">
      <c r="X1387" s="8"/>
      <c r="Z1387" s="8"/>
    </row>
    <row r="1388" spans="24:26">
      <c r="X1388" s="8"/>
      <c r="Z1388" s="8"/>
    </row>
    <row r="1389" spans="24:26">
      <c r="X1389" s="8"/>
      <c r="Z1389" s="8"/>
    </row>
    <row r="1390" spans="24:26">
      <c r="X1390" s="8"/>
      <c r="Z1390" s="8"/>
    </row>
    <row r="1391" spans="24:26">
      <c r="X1391" s="8"/>
      <c r="Z1391" s="8"/>
    </row>
    <row r="1392" spans="24:26">
      <c r="X1392" s="8"/>
      <c r="Z1392" s="8"/>
    </row>
    <row r="1393" spans="24:26">
      <c r="X1393" s="8"/>
      <c r="Z1393" s="8"/>
    </row>
    <row r="1394" spans="24:26">
      <c r="X1394" s="8"/>
      <c r="Z1394" s="8"/>
    </row>
    <row r="1395" spans="24:26">
      <c r="X1395" s="8"/>
      <c r="Z1395" s="8"/>
    </row>
    <row r="1396" spans="24:26">
      <c r="X1396" s="8"/>
      <c r="Z1396" s="8"/>
    </row>
    <row r="1397" spans="24:26">
      <c r="X1397" s="8"/>
      <c r="Z1397" s="8"/>
    </row>
    <row r="1398" spans="24:26">
      <c r="X1398" s="8"/>
      <c r="Z1398" s="8"/>
    </row>
    <row r="1399" spans="24:26">
      <c r="X1399" s="8"/>
      <c r="Z1399" s="8"/>
    </row>
    <row r="1400" spans="24:26">
      <c r="X1400" s="8"/>
      <c r="Z1400" s="8"/>
    </row>
    <row r="1401" spans="24:26">
      <c r="X1401" s="8"/>
      <c r="Z1401" s="8"/>
    </row>
    <row r="1402" spans="24:26">
      <c r="X1402" s="8"/>
      <c r="Z1402" s="8"/>
    </row>
    <row r="1403" spans="24:26">
      <c r="X1403" s="8"/>
      <c r="Z1403" s="8"/>
    </row>
    <row r="1404" spans="24:26">
      <c r="X1404" s="8"/>
      <c r="Z1404" s="8"/>
    </row>
    <row r="1405" spans="24:26">
      <c r="X1405" s="8"/>
      <c r="Z1405" s="8"/>
    </row>
    <row r="1406" spans="24:26">
      <c r="X1406" s="8"/>
      <c r="Z1406" s="8"/>
    </row>
    <row r="1407" spans="24:26">
      <c r="X1407" s="8"/>
      <c r="Z1407" s="8"/>
    </row>
    <row r="1408" spans="24:26">
      <c r="X1408" s="8"/>
      <c r="Z1408" s="8"/>
    </row>
    <row r="1409" spans="24:26">
      <c r="X1409" s="8"/>
      <c r="Z1409" s="8"/>
    </row>
    <row r="1410" spans="24:26">
      <c r="X1410" s="8"/>
      <c r="Z1410" s="8"/>
    </row>
    <row r="1411" spans="24:26">
      <c r="X1411" s="8"/>
      <c r="Z1411" s="8"/>
    </row>
    <row r="1412" spans="24:26">
      <c r="X1412" s="8"/>
      <c r="Z1412" s="8"/>
    </row>
    <row r="1413" spans="24:26">
      <c r="X1413" s="8"/>
      <c r="Z1413" s="8"/>
    </row>
    <row r="1414" spans="24:26">
      <c r="X1414" s="8"/>
      <c r="Z1414" s="8"/>
    </row>
    <row r="1415" spans="24:26">
      <c r="X1415" s="8"/>
      <c r="Z1415" s="8"/>
    </row>
    <row r="1416" spans="24:26">
      <c r="X1416" s="8"/>
      <c r="Z1416" s="8"/>
    </row>
    <row r="1417" spans="24:26">
      <c r="X1417" s="8"/>
      <c r="Z1417" s="8"/>
    </row>
    <row r="1418" spans="24:26">
      <c r="X1418" s="8"/>
      <c r="Z1418" s="8"/>
    </row>
    <row r="1419" spans="24:26">
      <c r="X1419" s="8"/>
      <c r="Z1419" s="8"/>
    </row>
    <row r="1420" spans="24:26">
      <c r="X1420" s="8"/>
      <c r="Z1420" s="8"/>
    </row>
    <row r="1421" spans="24:26">
      <c r="X1421" s="8"/>
      <c r="Z1421" s="8"/>
    </row>
    <row r="1422" spans="24:26">
      <c r="X1422" s="8"/>
      <c r="Z1422" s="8"/>
    </row>
    <row r="1423" spans="24:26">
      <c r="X1423" s="8"/>
      <c r="Z1423" s="8"/>
    </row>
    <row r="1424" spans="24:26">
      <c r="X1424" s="8"/>
      <c r="Z1424" s="8"/>
    </row>
    <row r="1425" spans="24:26">
      <c r="X1425" s="8"/>
      <c r="Z1425" s="8"/>
    </row>
    <row r="1426" spans="24:26">
      <c r="X1426" s="8"/>
      <c r="Z1426" s="8"/>
    </row>
    <row r="1427" spans="24:26">
      <c r="X1427" s="8"/>
      <c r="Z1427" s="8"/>
    </row>
    <row r="1428" spans="24:26">
      <c r="X1428" s="8"/>
      <c r="Z1428" s="8"/>
    </row>
    <row r="1429" spans="24:26">
      <c r="X1429" s="8"/>
      <c r="Z1429" s="8"/>
    </row>
    <row r="1430" spans="24:26">
      <c r="X1430" s="8"/>
      <c r="Z1430" s="8"/>
    </row>
    <row r="1431" spans="24:26">
      <c r="X1431" s="8"/>
      <c r="Z1431" s="8"/>
    </row>
    <row r="1432" spans="24:26">
      <c r="X1432" s="8"/>
      <c r="Z1432" s="8"/>
    </row>
    <row r="1433" spans="24:26">
      <c r="X1433" s="8"/>
      <c r="Z1433" s="8"/>
    </row>
    <row r="1434" spans="24:26">
      <c r="X1434" s="8"/>
      <c r="Z1434" s="8"/>
    </row>
    <row r="1435" spans="24:26">
      <c r="X1435" s="8"/>
      <c r="Z1435" s="8"/>
    </row>
    <row r="1436" spans="24:26">
      <c r="X1436" s="8"/>
      <c r="Z1436" s="8"/>
    </row>
    <row r="1437" spans="24:26">
      <c r="X1437" s="8"/>
      <c r="Z1437" s="8"/>
    </row>
    <row r="1438" spans="24:26">
      <c r="X1438" s="8"/>
      <c r="Z1438" s="8"/>
    </row>
    <row r="1439" spans="24:26">
      <c r="X1439" s="8"/>
      <c r="Z1439" s="8"/>
    </row>
    <row r="1440" spans="24:26">
      <c r="X1440" s="8"/>
      <c r="Z1440" s="8"/>
    </row>
    <row r="1441" spans="24:26">
      <c r="X1441" s="8"/>
      <c r="Z1441" s="8"/>
    </row>
    <row r="1442" spans="24:26">
      <c r="X1442" s="8"/>
      <c r="Z1442" s="8"/>
    </row>
    <row r="1443" spans="24:26">
      <c r="X1443" s="8"/>
      <c r="Z1443" s="8"/>
    </row>
    <row r="1444" spans="24:26">
      <c r="X1444" s="8"/>
      <c r="Z1444" s="8"/>
    </row>
    <row r="1445" spans="24:26">
      <c r="X1445" s="8"/>
      <c r="Z1445" s="8"/>
    </row>
    <row r="1446" spans="24:26">
      <c r="X1446" s="8"/>
      <c r="Z1446" s="8"/>
    </row>
    <row r="1447" spans="24:26">
      <c r="X1447" s="8"/>
      <c r="Z1447" s="8"/>
    </row>
    <row r="1448" spans="24:26">
      <c r="X1448" s="8"/>
      <c r="Z1448" s="8"/>
    </row>
    <row r="1449" spans="24:26">
      <c r="X1449" s="8"/>
      <c r="Z1449" s="8"/>
    </row>
    <row r="1450" spans="24:26">
      <c r="X1450" s="8"/>
      <c r="Z1450" s="8"/>
    </row>
    <row r="1451" spans="24:26">
      <c r="X1451" s="8"/>
      <c r="Z1451" s="8"/>
    </row>
    <row r="1452" spans="24:26">
      <c r="X1452" s="8"/>
      <c r="Z1452" s="8"/>
    </row>
    <row r="1453" spans="24:26">
      <c r="X1453" s="8"/>
      <c r="Z1453" s="8"/>
    </row>
  </sheetData>
  <pageMargins left="0" right="0" top="0.59055118110236227" bottom="0" header="0" footer="0"/>
  <pageSetup pageOrder="overThenDown" orientation="portrait" blackAndWhite="1" horizontalDpi="300" verticalDpi="300" r:id="rId1"/>
  <colBreaks count="1" manualBreakCount="1">
    <brk id="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دیتابیز عمومی کتب</vt:lpstr>
      <vt:lpstr>'دیتابیز عمومی کتب'!Print_Titles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2026-02-04T06:45:33Z</dcterms:modified>
</cp:coreProperties>
</file>